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AutoWashPro\"/>
    </mc:Choice>
  </mc:AlternateContent>
  <xr:revisionPtr revIDLastSave="0" documentId="13_ncr:1_{1E23D3E6-E627-44F0-8884-96E42CB3AF4B}" xr6:coauthVersionLast="47" xr6:coauthVersionMax="47" xr10:uidLastSave="{00000000-0000-0000-0000-000000000000}"/>
  <bookViews>
    <workbookView xWindow="-93" yWindow="-93" windowWidth="25786" windowHeight="13986" activeTab="1" xr2:uid="{00000000-000D-0000-FFFF-FFFF00000000}"/>
  </bookViews>
  <sheets>
    <sheet name="IterX" sheetId="1" r:id="rId1"/>
    <sheet name="FINAL" sheetId="2" r:id="rId2"/>
  </sheets>
  <definedNames>
    <definedName name="_xlnm._FilterDatabase" localSheetId="1" hidden="1">FINAL!$A$1:$P$25</definedName>
    <definedName name="_xlnm._FilterDatabase" localSheetId="0" hidden="1">IterX!$A$4:$M$25</definedName>
  </definedNames>
  <calcPr calcId="191029"/>
</workbook>
</file>

<file path=xl/calcChain.xml><?xml version="1.0" encoding="utf-8"?>
<calcChain xmlns="http://schemas.openxmlformats.org/spreadsheetml/2006/main">
  <c r="N25" i="2" l="1"/>
  <c r="J25" i="2"/>
  <c r="A25" i="2"/>
  <c r="N24" i="2"/>
  <c r="J24" i="2"/>
  <c r="A24" i="2"/>
  <c r="N23" i="2"/>
  <c r="J23" i="2"/>
  <c r="A23" i="2"/>
  <c r="N22" i="2"/>
  <c r="J22" i="2"/>
  <c r="A22" i="2"/>
  <c r="N21" i="2"/>
  <c r="J21" i="2"/>
  <c r="A21" i="2"/>
  <c r="N20" i="2"/>
  <c r="J20" i="2"/>
  <c r="A20" i="2"/>
  <c r="N19" i="2"/>
  <c r="J19" i="2"/>
  <c r="A19" i="2"/>
  <c r="N18" i="2"/>
  <c r="J18" i="2"/>
  <c r="A18" i="2"/>
  <c r="N17" i="2"/>
  <c r="J17" i="2"/>
  <c r="A17" i="2"/>
  <c r="N16" i="2"/>
  <c r="J16" i="2"/>
  <c r="A16" i="2"/>
  <c r="N15" i="2"/>
  <c r="J15" i="2"/>
  <c r="A15" i="2"/>
  <c r="N14" i="2"/>
  <c r="J14" i="2"/>
  <c r="A14" i="2"/>
  <c r="N13" i="2"/>
  <c r="J13" i="2"/>
  <c r="A13" i="2"/>
  <c r="N12" i="2"/>
  <c r="J12" i="2"/>
  <c r="A12" i="2"/>
  <c r="N11" i="2"/>
  <c r="J11" i="2"/>
  <c r="A11" i="2"/>
  <c r="N10" i="2"/>
  <c r="J10" i="2"/>
  <c r="A10" i="2"/>
  <c r="N9" i="2"/>
  <c r="J9" i="2"/>
  <c r="A9" i="2"/>
  <c r="N8" i="2"/>
  <c r="J8" i="2"/>
  <c r="A8" i="2"/>
  <c r="N7" i="2"/>
  <c r="J7" i="2"/>
  <c r="A7" i="2"/>
  <c r="N6" i="2"/>
  <c r="J6" i="2"/>
  <c r="A6" i="2"/>
  <c r="N5" i="2"/>
  <c r="J5" i="2"/>
  <c r="A5" i="2"/>
  <c r="J17" i="1"/>
  <c r="A17" i="1"/>
  <c r="J19" i="1"/>
  <c r="A19" i="1"/>
  <c r="J24" i="1"/>
  <c r="A24" i="1"/>
  <c r="J12" i="1"/>
  <c r="A12" i="1"/>
  <c r="J18" i="1"/>
  <c r="A18" i="1"/>
  <c r="J23" i="1"/>
  <c r="A23" i="1"/>
  <c r="J14" i="1"/>
  <c r="A14" i="1"/>
  <c r="J10" i="1"/>
  <c r="A10" i="1"/>
  <c r="J15" i="1"/>
  <c r="A15" i="1"/>
  <c r="J9" i="1"/>
  <c r="A9" i="1"/>
  <c r="J20" i="1"/>
  <c r="A20" i="1"/>
  <c r="J11" i="1"/>
  <c r="A11" i="1"/>
  <c r="J25" i="1"/>
  <c r="A25" i="1"/>
  <c r="J6" i="1"/>
  <c r="A6" i="1"/>
  <c r="J13" i="1"/>
  <c r="A13" i="1"/>
  <c r="J21" i="1"/>
  <c r="A21" i="1"/>
  <c r="J8" i="1"/>
  <c r="A8" i="1"/>
  <c r="J7" i="1"/>
  <c r="A7" i="1"/>
  <c r="J16" i="1"/>
  <c r="A16" i="1"/>
  <c r="J5" i="1"/>
  <c r="A5" i="1"/>
  <c r="J22" i="1"/>
  <c r="A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4" authorId="0" shapeId="0" xr:uid="{00000000-0006-0000-0000-000001000000}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4" authorId="0" shapeId="0" xr:uid="{00000000-0006-0000-0000-000002000000}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<sst xmlns="http://schemas.openxmlformats.org/spreadsheetml/2006/main" count="453" uniqueCount="103">
  <si>
    <t>LOC Evaluation for AutoWash Pro</t>
  </si>
  <si>
    <t>#</t>
  </si>
  <si>
    <t>Screen / Function</t>
  </si>
  <si>
    <t>Feature</t>
  </si>
  <si>
    <t>Screen/Function Description</t>
  </si>
  <si>
    <t>In Charge</t>
  </si>
  <si>
    <t>Status</t>
  </si>
  <si>
    <t>SRS</t>
  </si>
  <si>
    <t>SDS</t>
  </si>
  <si>
    <t>Notes</t>
  </si>
  <si>
    <t>LOC</t>
  </si>
  <si>
    <t>Code Demo Comments</t>
  </si>
  <si>
    <t>Complexity</t>
  </si>
  <si>
    <t>Quality</t>
  </si>
  <si>
    <t>Landing</t>
  </si>
  <si>
    <t>Review</t>
  </si>
  <si>
    <t>Hero marketing page, live 3D wash pipeline simulator, pricing calculator, loyalty perks showcase, customer reviews.</t>
  </si>
  <si>
    <t>Ngô Đình Khoa</t>
  </si>
  <si>
    <t>Completed</t>
  </si>
  <si>
    <t>II.2</t>
  </si>
  <si>
    <t>III.2</t>
  </si>
  <si>
    <t>Simple</t>
  </si>
  <si>
    <t>High</t>
  </si>
  <si>
    <t>Login</t>
  </si>
  <si>
    <t>Auth</t>
  </si>
  <si>
    <t>Unified login modal supporting Email/Password, Email OTP registration, and Google OAuth 2.0.</t>
  </si>
  <si>
    <t>Trịnh Phú Quốc</t>
  </si>
  <si>
    <t>II.3</t>
  </si>
  <si>
    <t>III.3</t>
  </si>
  <si>
    <t>Medium</t>
  </si>
  <si>
    <t>CustomerDashboard</t>
  </si>
  <si>
    <t>Notification</t>
  </si>
  <si>
    <t>Customer hub showing greeting, active wash stage progress bar, quick booking CTA, loyalty tier card, recent notifications.</t>
  </si>
  <si>
    <t>II.4</t>
  </si>
  <si>
    <t>III.4</t>
  </si>
  <si>
    <t>CustomerBooking</t>
  </si>
  <si>
    <t>Booking</t>
  </si>
  <si>
    <t>4-step wizard: 1. Select Vehicle, 2. Select Main Service &amp; Add-ons, 3. Choose Date &amp; Time Slot, 4. Apply Voucher &amp; Confirm.</t>
  </si>
  <si>
    <t>II.5</t>
  </si>
  <si>
    <t>III.5</t>
  </si>
  <si>
    <t>Complex</t>
  </si>
  <si>
    <t>CustomerBookings</t>
  </si>
  <si>
    <t>List of active and upcoming bookings with status badges, countdown timer to check-in window, and cancel option.</t>
  </si>
  <si>
    <t>Trần Đăng Khoa</t>
  </si>
  <si>
    <t>II.1</t>
  </si>
  <si>
    <t>III.1</t>
  </si>
  <si>
    <t>CustomerHistory</t>
  </si>
  <si>
    <t>Historical log of completed washes with service details, invoice summary, download receipt, and review rating form.</t>
  </si>
  <si>
    <t>Nguyễn Lê Thuận</t>
  </si>
  <si>
    <t>CustomerLoyalty</t>
  </si>
  <si>
    <t>Loyalty</t>
  </si>
  <si>
    <t>VIP Tier status display (Member/Silver/Gold/Platinum), point progress bar, point audit history, and voucher redemption store.</t>
  </si>
  <si>
    <t>CustomerProfile</t>
  </si>
  <si>
    <t>Manage personal profile details (Full Name, Phone, Email) and change password.</t>
  </si>
  <si>
    <t>CustomerVehicles</t>
  </si>
  <si>
    <t>Vehicle</t>
  </si>
  <si>
    <t>Garage tab (Add/Delete vehicles) and Ownership Transfer tab (check plate, submit transfer request with documents, track status).</t>
  </si>
  <si>
    <t>AdminDashboard</t>
  </si>
  <si>
    <t>Dashboard</t>
  </si>
  <si>
    <t>Executive dashboard showing Revenue chart (Day/Week/Month), total bookings, queue bottleneck indicators, customer tier distribution.</t>
  </si>
  <si>
    <t>AdminQueue</t>
  </si>
  <si>
    <t>Queue</t>
  </si>
  <si>
    <t>Real-time wash bay queue board with SignalR live updates. Shows stage timers (Waiting, Washing, Drying), webcam photo capture, checkout button.</t>
  </si>
  <si>
    <t>AdminBookings</t>
  </si>
  <si>
    <t>Full calendar and table of system bookings with filters by date/status. Supports staff check-in, manual reschedule, and cancellation.</t>
  </si>
  <si>
    <t>AdminCustomers</t>
  </si>
  <si>
    <t>List of all registered customer accounts, total spent, current tier, and manual point adjustment modal.</t>
  </si>
  <si>
    <t>AdminServices</t>
  </si>
  <si>
    <t>Management of wash service catalog (Main services and add-on services), pricing, duration, and active toggle.</t>
  </si>
  <si>
    <t>AdminLoyalty</t>
  </si>
  <si>
    <t>Configuration of tier point thresholds, spending multipliers, discount percentages, and manual trigger for tier review.</t>
  </si>
  <si>
    <t>AdminRewards</t>
  </si>
  <si>
    <t>Reward</t>
  </si>
  <si>
    <t>Catalog management for redeemable rewards and manual voucher assignment to specific customer accounts.</t>
  </si>
  <si>
    <t>AdminTransactions</t>
  </si>
  <si>
    <t>Payment</t>
  </si>
  <si>
    <t>Audit log of all PayOS transactions across system with payment status badges (Paid, Pending, Failed, Expired) and filtering.</t>
  </si>
  <si>
    <t>AdminDemoTools</t>
  </si>
  <si>
    <t>Demo Utilities</t>
  </si>
  <si>
    <t>Testing tools interface for injecting test bookings, simulating queue progression, clearing queue, and testing LPR triggers.</t>
  </si>
  <si>
    <t>Nguyễn Hoàng Huy</t>
  </si>
  <si>
    <t>AdminOwnershipTransfers</t>
  </si>
  <si>
    <t>Transfer</t>
  </si>
  <si>
    <t>Review queue of vehicle ownership transfer requests. Features document previewer (PDF/Image viewer), approve, and reject with reason.</t>
  </si>
  <si>
    <t>PaymentCheckout</t>
  </si>
  <si>
    <t>Dedicated checkout screen displaying PayOS QR code (QRCodeSVG), bank transfer details, and 15-minute live polling countdown timer.</t>
  </si>
  <si>
    <t>PaymentResult</t>
  </si>
  <si>
    <t>PayOS payment return landing page. Features automatic retry verification polling before showing Success, Cancelled, or Timeout card.</t>
  </si>
  <si>
    <t>Final LOC Evaluation</t>
  </si>
  <si>
    <t>Information in the columns A-I are copied from the student's submitted tracking file, J-M are copied from the iteration LOC evaluatin</t>
  </si>
  <si>
    <t>Teacher to fill the evaluations in the columns O-P, then might use Excel pivot to have total final LOC for each student</t>
  </si>
  <si>
    <t>Screen/Function</t>
  </si>
  <si>
    <t>Actual</t>
  </si>
  <si>
    <t>Updated</t>
  </si>
  <si>
    <t>Update Details</t>
  </si>
  <si>
    <t>Final LOC</t>
  </si>
  <si>
    <t>Final Complexity</t>
  </si>
  <si>
    <t>Final Quality</t>
  </si>
  <si>
    <t>iter2</t>
  </si>
  <si>
    <t>iter3</t>
  </si>
  <si>
    <t>none</t>
  </si>
  <si>
    <t>iter4</t>
  </si>
  <si>
    <t>iter1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</si>
</sst>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4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4" borderId="1" xfId="1" applyFont="1" applyFill="1" applyBorder="1" applyAlignment="1">
      <alignment vertical="top"/>
    </xf>
    <xf numFmtId="0" fontId="8" fillId="6" borderId="1" xfId="1" applyFont="1" applyFill="1" applyBorder="1" applyAlignment="1">
      <alignment vertical="top"/>
    </xf>
    <xf numFmtId="0" fontId="2" fillId="0" borderId="0" xfId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2" fillId="0" borderId="0" xfId="1" applyAlignment="1">
      <alignment horizontal="left" vertical="top"/>
    </xf>
    <xf numFmtId="0" fontId="9" fillId="0" borderId="2" xfId="1" applyFont="1" applyBorder="1" applyAlignment="1">
      <alignment horizontal="center" vertical="top"/>
    </xf>
    <xf numFmtId="0" fontId="9" fillId="0" borderId="2" xfId="1" applyFont="1" applyBorder="1" applyAlignment="1">
      <alignment vertical="top"/>
    </xf>
    <xf numFmtId="0" fontId="9" fillId="0" borderId="2" xfId="1" applyFont="1" applyBorder="1" applyAlignment="1">
      <alignment vertical="top" wrapText="1"/>
    </xf>
    <xf numFmtId="0" fontId="9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1" applyFont="1" applyFill="1" applyBorder="1" applyAlignment="1">
      <alignment horizontal="center" vertical="center"/>
    </xf>
    <xf numFmtId="0" fontId="0" fillId="0" borderId="2" xfId="1" applyFont="1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5" borderId="2" xfId="1" applyFont="1" applyFill="1" applyBorder="1" applyAlignment="1">
      <alignment vertical="top"/>
    </xf>
    <xf numFmtId="0" fontId="9" fillId="0" borderId="2" xfId="1" quotePrefix="1" applyFont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10" fillId="0" borderId="2" xfId="2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10" fillId="0" borderId="2" xfId="2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M25"/>
  <sheetViews>
    <sheetView zoomScale="106" zoomScaleNormal="106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E4" sqref="E4"/>
    </sheetView>
  </sheetViews>
  <sheetFormatPr defaultColWidth="10.703125" defaultRowHeight="12.7" outlineLevelCol="1" x14ac:dyDescent="0.4"/>
  <cols>
    <col min="1" max="1" width="3.29296875" style="1" customWidth="1"/>
    <col min="2" max="2" width="21.8203125" style="2" bestFit="1" customWidth="1"/>
    <col min="3" max="3" width="28" style="2" customWidth="1"/>
    <col min="4" max="4" width="38.41015625" style="2" customWidth="1" outlineLevel="1"/>
    <col min="5" max="5" width="16.29296875" style="9" bestFit="1" customWidth="1"/>
    <col min="6" max="8" width="10" style="9" customWidth="1"/>
    <col min="9" max="9" width="10" style="9" customWidth="1" outlineLevel="1"/>
    <col min="10" max="10" width="10" style="9" customWidth="1"/>
    <col min="11" max="11" width="23.29296875" style="2" customWidth="1" outlineLevel="1"/>
    <col min="12" max="13" width="10.703125" style="2" customWidth="1" outlineLevel="1"/>
    <col min="14" max="16" width="10.703125" style="2" customWidth="1"/>
    <col min="17" max="16384" width="10.703125" style="2"/>
  </cols>
  <sheetData>
    <row r="1" spans="1:13" ht="17.45" customHeight="1" x14ac:dyDescent="0.4">
      <c r="A1" s="6" t="s">
        <v>0</v>
      </c>
    </row>
    <row r="2" spans="1:13" x14ac:dyDescent="0.4">
      <c r="A2" s="5"/>
      <c r="C2" s="13"/>
    </row>
    <row r="3" spans="1:13" x14ac:dyDescent="0.4">
      <c r="A3" s="5"/>
    </row>
    <row r="4" spans="1:13" x14ac:dyDescent="0.4">
      <c r="A4" s="4" t="s">
        <v>1</v>
      </c>
      <c r="B4" s="3" t="s">
        <v>2</v>
      </c>
      <c r="C4" s="3" t="s">
        <v>3</v>
      </c>
      <c r="D4" s="3" t="s">
        <v>4</v>
      </c>
      <c r="E4" s="10" t="s">
        <v>5</v>
      </c>
      <c r="F4" s="10" t="s">
        <v>6</v>
      </c>
      <c r="G4" s="11" t="s">
        <v>7</v>
      </c>
      <c r="H4" s="11" t="s">
        <v>8</v>
      </c>
      <c r="I4" s="10" t="s">
        <v>9</v>
      </c>
      <c r="J4" s="12" t="s">
        <v>10</v>
      </c>
      <c r="K4" s="7" t="s">
        <v>11</v>
      </c>
      <c r="L4" s="7" t="s">
        <v>12</v>
      </c>
      <c r="M4" s="7" t="s">
        <v>13</v>
      </c>
    </row>
    <row r="5" spans="1:13" ht="26.45" customHeight="1" x14ac:dyDescent="0.4">
      <c r="A5" s="14">
        <f>ROW()-4</f>
        <v>1</v>
      </c>
      <c r="B5" s="15" t="s">
        <v>23</v>
      </c>
      <c r="C5" s="15" t="s">
        <v>24</v>
      </c>
      <c r="D5" s="16" t="s">
        <v>25</v>
      </c>
      <c r="E5" s="33" t="s">
        <v>26</v>
      </c>
      <c r="F5" s="17" t="s">
        <v>18</v>
      </c>
      <c r="G5" s="18" t="s">
        <v>27</v>
      </c>
      <c r="H5" s="18" t="s">
        <v>28</v>
      </c>
      <c r="I5" s="17"/>
      <c r="J5" s="19">
        <f>IF(L5="Simple",60,IF(L5="Medium",120,240))*IF(M5="Low",50%,IF(M5="Medium",75%,100%))</f>
        <v>120</v>
      </c>
      <c r="K5" s="20"/>
      <c r="L5" s="20" t="s">
        <v>29</v>
      </c>
      <c r="M5" s="20" t="s">
        <v>22</v>
      </c>
    </row>
    <row r="6" spans="1:13" ht="26.45" customHeight="1" x14ac:dyDescent="0.4">
      <c r="A6" s="21">
        <f>ROW()-4</f>
        <v>2</v>
      </c>
      <c r="B6" s="22" t="s">
        <v>52</v>
      </c>
      <c r="C6" s="22" t="s">
        <v>24</v>
      </c>
      <c r="D6" s="23" t="s">
        <v>53</v>
      </c>
      <c r="E6" s="34" t="s">
        <v>26</v>
      </c>
      <c r="F6" s="24" t="s">
        <v>18</v>
      </c>
      <c r="G6" s="18" t="s">
        <v>33</v>
      </c>
      <c r="H6" s="18" t="s">
        <v>34</v>
      </c>
      <c r="I6" s="24"/>
      <c r="J6" s="25">
        <f>IF(L6="Simple",60,IF(L6="Medium",120,240))*IF(M6="Low",50%,IF(M6="Medium",75%,100%))</f>
        <v>120</v>
      </c>
      <c r="K6" s="26"/>
      <c r="L6" s="26" t="s">
        <v>29</v>
      </c>
      <c r="M6" s="26" t="s">
        <v>22</v>
      </c>
    </row>
    <row r="7" spans="1:13" ht="26.45" customHeight="1" x14ac:dyDescent="0.4">
      <c r="A7" s="21">
        <f>ROW()-4</f>
        <v>3</v>
      </c>
      <c r="B7" s="22" t="s">
        <v>35</v>
      </c>
      <c r="C7" s="22" t="s">
        <v>36</v>
      </c>
      <c r="D7" s="23" t="s">
        <v>37</v>
      </c>
      <c r="E7" s="34" t="s">
        <v>26</v>
      </c>
      <c r="F7" s="24" t="s">
        <v>18</v>
      </c>
      <c r="G7" s="18" t="s">
        <v>38</v>
      </c>
      <c r="H7" s="18" t="s">
        <v>39</v>
      </c>
      <c r="I7" s="24"/>
      <c r="J7" s="25">
        <f>IF(L7="Simple",60,IF(L7="Medium",120,240))*IF(M7="Low",50%,IF(M7="Medium",75%,100%))</f>
        <v>240</v>
      </c>
      <c r="K7" s="26"/>
      <c r="L7" s="26" t="s">
        <v>40</v>
      </c>
      <c r="M7" s="26" t="s">
        <v>22</v>
      </c>
    </row>
    <row r="8" spans="1:13" ht="38" customHeight="1" x14ac:dyDescent="0.4">
      <c r="A8" s="21">
        <f>ROW()-4</f>
        <v>4</v>
      </c>
      <c r="B8" s="22" t="s">
        <v>41</v>
      </c>
      <c r="C8" s="22" t="s">
        <v>36</v>
      </c>
      <c r="D8" s="23" t="s">
        <v>42</v>
      </c>
      <c r="E8" s="34" t="s">
        <v>43</v>
      </c>
      <c r="F8" s="24" t="s">
        <v>18</v>
      </c>
      <c r="G8" s="18" t="s">
        <v>44</v>
      </c>
      <c r="H8" s="18" t="s">
        <v>45</v>
      </c>
      <c r="I8" s="24"/>
      <c r="J8" s="25">
        <f>IF(L8="Simple",60,IF(L8="Medium",120,240))*IF(M8="Low",50%,IF(M8="Medium",75%,100%))</f>
        <v>240</v>
      </c>
      <c r="K8" s="26"/>
      <c r="L8" s="26" t="s">
        <v>40</v>
      </c>
      <c r="M8" s="26" t="s">
        <v>22</v>
      </c>
    </row>
    <row r="9" spans="1:13" ht="38" customHeight="1" x14ac:dyDescent="0.4">
      <c r="A9" s="21">
        <f>ROW()-4</f>
        <v>5</v>
      </c>
      <c r="B9" s="22" t="s">
        <v>63</v>
      </c>
      <c r="C9" s="22" t="s">
        <v>36</v>
      </c>
      <c r="D9" s="23" t="s">
        <v>64</v>
      </c>
      <c r="E9" s="34" t="s">
        <v>43</v>
      </c>
      <c r="F9" s="24" t="s">
        <v>18</v>
      </c>
      <c r="G9" s="18" t="s">
        <v>27</v>
      </c>
      <c r="H9" s="18" t="s">
        <v>28</v>
      </c>
      <c r="I9" s="24"/>
      <c r="J9" s="25">
        <f>IF(L9="Simple",60,IF(L9="Medium",120,240))*IF(M9="Low",50%,IF(M9="Medium",75%,100%))</f>
        <v>240</v>
      </c>
      <c r="K9" s="26"/>
      <c r="L9" s="26" t="s">
        <v>40</v>
      </c>
      <c r="M9" s="26" t="s">
        <v>22</v>
      </c>
    </row>
    <row r="10" spans="1:13" ht="38" customHeight="1" x14ac:dyDescent="0.4">
      <c r="A10" s="21">
        <f>ROW()-4</f>
        <v>6</v>
      </c>
      <c r="B10" s="22" t="s">
        <v>67</v>
      </c>
      <c r="C10" s="22" t="s">
        <v>36</v>
      </c>
      <c r="D10" s="23" t="s">
        <v>68</v>
      </c>
      <c r="E10" s="34" t="s">
        <v>17</v>
      </c>
      <c r="F10" s="24" t="s">
        <v>18</v>
      </c>
      <c r="G10" s="18" t="s">
        <v>38</v>
      </c>
      <c r="H10" s="18" t="s">
        <v>39</v>
      </c>
      <c r="I10" s="24"/>
      <c r="J10" s="25">
        <f>IF(L10="Simple",60,IF(L10="Medium",120,240))*IF(M10="Low",50%,IF(M10="Medium",75%,100%))</f>
        <v>60</v>
      </c>
      <c r="K10" s="26"/>
      <c r="L10" s="26" t="s">
        <v>21</v>
      </c>
      <c r="M10" s="26" t="s">
        <v>22</v>
      </c>
    </row>
    <row r="11" spans="1:13" ht="50.7" customHeight="1" x14ac:dyDescent="0.4">
      <c r="A11" s="21">
        <f>ROW()-4</f>
        <v>7</v>
      </c>
      <c r="B11" s="22" t="s">
        <v>57</v>
      </c>
      <c r="C11" s="22" t="s">
        <v>58</v>
      </c>
      <c r="D11" s="23" t="s">
        <v>59</v>
      </c>
      <c r="E11" s="34" t="s">
        <v>26</v>
      </c>
      <c r="F11" s="24" t="s">
        <v>18</v>
      </c>
      <c r="G11" s="18" t="s">
        <v>44</v>
      </c>
      <c r="H11" s="18" t="s">
        <v>45</v>
      </c>
      <c r="I11" s="24"/>
      <c r="J11" s="25">
        <f>IF(L11="Simple",60,IF(L11="Medium",120,240))*IF(M11="Low",50%,IF(M11="Medium",75%,100%))</f>
        <v>120</v>
      </c>
      <c r="K11" s="26"/>
      <c r="L11" s="26" t="s">
        <v>29</v>
      </c>
      <c r="M11" s="26" t="s">
        <v>22</v>
      </c>
    </row>
    <row r="12" spans="1:13" ht="25.35" customHeight="1" x14ac:dyDescent="0.4">
      <c r="A12" s="21">
        <f>ROW()-4</f>
        <v>8</v>
      </c>
      <c r="B12" s="22" t="s">
        <v>77</v>
      </c>
      <c r="C12" s="22" t="s">
        <v>78</v>
      </c>
      <c r="D12" s="23" t="s">
        <v>79</v>
      </c>
      <c r="E12" s="34" t="s">
        <v>80</v>
      </c>
      <c r="F12" s="24" t="s">
        <v>18</v>
      </c>
      <c r="G12" s="18" t="s">
        <v>33</v>
      </c>
      <c r="H12" s="18" t="s">
        <v>34</v>
      </c>
      <c r="I12" s="24"/>
      <c r="J12" s="25">
        <f>IF(L12="Simple",60,IF(L12="Medium",120,240))*IF(M12="Low",50%,IF(M12="Medium",75%,100%))</f>
        <v>60</v>
      </c>
      <c r="K12" s="26"/>
      <c r="L12" s="26" t="s">
        <v>21</v>
      </c>
      <c r="M12" s="26" t="s">
        <v>22</v>
      </c>
    </row>
    <row r="13" spans="1:13" ht="38" customHeight="1" x14ac:dyDescent="0.4">
      <c r="A13" s="21">
        <f>ROW()-4</f>
        <v>9</v>
      </c>
      <c r="B13" s="22" t="s">
        <v>49</v>
      </c>
      <c r="C13" s="22" t="s">
        <v>50</v>
      </c>
      <c r="D13" s="23" t="s">
        <v>51</v>
      </c>
      <c r="E13" s="34" t="s">
        <v>26</v>
      </c>
      <c r="F13" s="24" t="s">
        <v>18</v>
      </c>
      <c r="G13" s="18" t="s">
        <v>27</v>
      </c>
      <c r="H13" s="18" t="s">
        <v>28</v>
      </c>
      <c r="I13" s="24"/>
      <c r="J13" s="25">
        <f>IF(L13="Simple",60,IF(L13="Medium",120,240))*IF(M13="Low",50%,IF(M13="Medium",75%,100%))</f>
        <v>240</v>
      </c>
      <c r="K13" s="26"/>
      <c r="L13" s="26" t="s">
        <v>40</v>
      </c>
      <c r="M13" s="26" t="s">
        <v>22</v>
      </c>
    </row>
    <row r="14" spans="1:13" ht="38" customHeight="1" x14ac:dyDescent="0.4">
      <c r="A14" s="21">
        <f>ROW()-4</f>
        <v>10</v>
      </c>
      <c r="B14" s="22" t="s">
        <v>69</v>
      </c>
      <c r="C14" s="22" t="s">
        <v>50</v>
      </c>
      <c r="D14" s="23" t="s">
        <v>70</v>
      </c>
      <c r="E14" s="34" t="s">
        <v>48</v>
      </c>
      <c r="F14" s="24" t="s">
        <v>18</v>
      </c>
      <c r="G14" s="18" t="s">
        <v>44</v>
      </c>
      <c r="H14" s="18" t="s">
        <v>45</v>
      </c>
      <c r="I14" s="24"/>
      <c r="J14" s="25">
        <f>IF(L14="Simple",60,IF(L14="Medium",120,240))*IF(M14="Low",50%,IF(M14="Medium",75%,100%))</f>
        <v>240</v>
      </c>
      <c r="K14" s="26"/>
      <c r="L14" s="26" t="s">
        <v>40</v>
      </c>
      <c r="M14" s="26" t="s">
        <v>22</v>
      </c>
    </row>
    <row r="15" spans="1:13" ht="50.7" customHeight="1" x14ac:dyDescent="0.4">
      <c r="A15" s="21">
        <f>ROW()-4</f>
        <v>11</v>
      </c>
      <c r="B15" s="22" t="s">
        <v>65</v>
      </c>
      <c r="C15" s="22" t="s">
        <v>50</v>
      </c>
      <c r="D15" s="23" t="s">
        <v>66</v>
      </c>
      <c r="E15" s="34" t="s">
        <v>17</v>
      </c>
      <c r="F15" s="24" t="s">
        <v>18</v>
      </c>
      <c r="G15" s="18" t="s">
        <v>33</v>
      </c>
      <c r="H15" s="18" t="s">
        <v>34</v>
      </c>
      <c r="I15" s="24"/>
      <c r="J15" s="25">
        <f>IF(L15="Simple",60,IF(L15="Medium",120,240))*IF(M15="Low",50%,IF(M15="Medium",75%,100%))</f>
        <v>120</v>
      </c>
      <c r="K15" s="26"/>
      <c r="L15" s="26" t="s">
        <v>29</v>
      </c>
      <c r="M15" s="26" t="s">
        <v>22</v>
      </c>
    </row>
    <row r="16" spans="1:13" ht="38" customHeight="1" x14ac:dyDescent="0.4">
      <c r="A16" s="14">
        <f>ROW()-4</f>
        <v>12</v>
      </c>
      <c r="B16" s="15" t="s">
        <v>30</v>
      </c>
      <c r="C16" s="15" t="s">
        <v>31</v>
      </c>
      <c r="D16" s="16" t="s">
        <v>32</v>
      </c>
      <c r="E16" s="33" t="s">
        <v>17</v>
      </c>
      <c r="F16" s="17" t="s">
        <v>18</v>
      </c>
      <c r="G16" s="18" t="s">
        <v>33</v>
      </c>
      <c r="H16" s="18" t="s">
        <v>34</v>
      </c>
      <c r="I16" s="17"/>
      <c r="J16" s="19">
        <f>IF(L16="Simple",60,IF(L16="Medium",120,240))*IF(M16="Low",50%,IF(M16="Medium",75%,100%))</f>
        <v>120</v>
      </c>
      <c r="K16" s="20"/>
      <c r="L16" s="20" t="s">
        <v>29</v>
      </c>
      <c r="M16" s="20" t="s">
        <v>22</v>
      </c>
    </row>
    <row r="17" spans="1:13" ht="38" customHeight="1" x14ac:dyDescent="0.4">
      <c r="A17" s="21">
        <f>ROW()-4</f>
        <v>13</v>
      </c>
      <c r="B17" s="22" t="s">
        <v>86</v>
      </c>
      <c r="C17" s="22" t="s">
        <v>75</v>
      </c>
      <c r="D17" s="23" t="s">
        <v>87</v>
      </c>
      <c r="E17" s="34" t="s">
        <v>26</v>
      </c>
      <c r="F17" s="24" t="s">
        <v>18</v>
      </c>
      <c r="G17" s="18" t="s">
        <v>19</v>
      </c>
      <c r="H17" s="18" t="s">
        <v>20</v>
      </c>
      <c r="I17" s="24"/>
      <c r="J17" s="25">
        <f>IF(L17="Simple",60,IF(L17="Medium",120,240))*IF(M17="Low",50%,IF(M17="Medium",75%,100%))</f>
        <v>240</v>
      </c>
      <c r="K17" s="26"/>
      <c r="L17" s="26" t="s">
        <v>40</v>
      </c>
      <c r="M17" s="26" t="s">
        <v>22</v>
      </c>
    </row>
    <row r="18" spans="1:13" ht="38" customHeight="1" x14ac:dyDescent="0.4">
      <c r="A18" s="21">
        <f>ROW()-4</f>
        <v>14</v>
      </c>
      <c r="B18" s="22" t="s">
        <v>74</v>
      </c>
      <c r="C18" s="22" t="s">
        <v>75</v>
      </c>
      <c r="D18" s="23" t="s">
        <v>76</v>
      </c>
      <c r="E18" s="34" t="s">
        <v>48</v>
      </c>
      <c r="F18" s="24" t="s">
        <v>18</v>
      </c>
      <c r="G18" s="18" t="s">
        <v>27</v>
      </c>
      <c r="H18" s="18" t="s">
        <v>28</v>
      </c>
      <c r="I18" s="24"/>
      <c r="J18" s="25">
        <f>IF(L18="Simple",60,IF(L18="Medium",120,240))*IF(M18="Low",50%,IF(M18="Medium",75%,100%))</f>
        <v>240</v>
      </c>
      <c r="K18" s="26"/>
      <c r="L18" s="26" t="s">
        <v>40</v>
      </c>
      <c r="M18" s="26" t="s">
        <v>22</v>
      </c>
    </row>
    <row r="19" spans="1:13" ht="38" customHeight="1" x14ac:dyDescent="0.4">
      <c r="A19" s="21">
        <f>ROW()-4</f>
        <v>15</v>
      </c>
      <c r="B19" s="22" t="s">
        <v>84</v>
      </c>
      <c r="C19" s="22" t="s">
        <v>75</v>
      </c>
      <c r="D19" s="23" t="s">
        <v>85</v>
      </c>
      <c r="E19" s="34" t="s">
        <v>48</v>
      </c>
      <c r="F19" s="24" t="s">
        <v>18</v>
      </c>
      <c r="G19" s="18" t="s">
        <v>44</v>
      </c>
      <c r="H19" s="18" t="s">
        <v>45</v>
      </c>
      <c r="I19" s="24"/>
      <c r="J19" s="25">
        <f>IF(L19="Simple",60,IF(L19="Medium",120,240))*IF(M19="Low",50%,IF(M19="Medium",75%,100%))</f>
        <v>240</v>
      </c>
      <c r="K19" s="26"/>
      <c r="L19" s="26" t="s">
        <v>40</v>
      </c>
      <c r="M19" s="26" t="s">
        <v>22</v>
      </c>
    </row>
    <row r="20" spans="1:13" ht="38" customHeight="1" x14ac:dyDescent="0.4">
      <c r="A20" s="21">
        <f>ROW()-4</f>
        <v>16</v>
      </c>
      <c r="B20" s="22" t="s">
        <v>60</v>
      </c>
      <c r="C20" s="22" t="s">
        <v>61</v>
      </c>
      <c r="D20" s="23" t="s">
        <v>62</v>
      </c>
      <c r="E20" s="34" t="s">
        <v>26</v>
      </c>
      <c r="F20" s="24" t="s">
        <v>18</v>
      </c>
      <c r="G20" s="18" t="s">
        <v>19</v>
      </c>
      <c r="H20" s="18" t="s">
        <v>20</v>
      </c>
      <c r="I20" s="24"/>
      <c r="J20" s="25">
        <f>IF(L20="Simple",60,IF(L20="Medium",120,240))*IF(M20="Low",50%,IF(M20="Medium",75%,100%))</f>
        <v>240</v>
      </c>
      <c r="K20" s="26"/>
      <c r="L20" s="26" t="s">
        <v>40</v>
      </c>
      <c r="M20" s="26" t="s">
        <v>22</v>
      </c>
    </row>
    <row r="21" spans="1:13" ht="38" customHeight="1" x14ac:dyDescent="0.4">
      <c r="A21" s="21">
        <f>ROW()-4</f>
        <v>17</v>
      </c>
      <c r="B21" s="22" t="s">
        <v>46</v>
      </c>
      <c r="C21" s="22" t="s">
        <v>15</v>
      </c>
      <c r="D21" s="23" t="s">
        <v>47</v>
      </c>
      <c r="E21" s="34" t="s">
        <v>48</v>
      </c>
      <c r="F21" s="24" t="s">
        <v>18</v>
      </c>
      <c r="G21" s="18" t="s">
        <v>19</v>
      </c>
      <c r="H21" s="18" t="s">
        <v>20</v>
      </c>
      <c r="I21" s="24"/>
      <c r="J21" s="25">
        <f>IF(L21="Simple",60,IF(L21="Medium",120,240))*IF(M21="Low",50%,IF(M21="Medium",75%,100%))</f>
        <v>60</v>
      </c>
      <c r="K21" s="26"/>
      <c r="L21" s="26" t="s">
        <v>21</v>
      </c>
      <c r="M21" s="26" t="s">
        <v>22</v>
      </c>
    </row>
    <row r="22" spans="1:13" ht="38" customHeight="1" x14ac:dyDescent="0.4">
      <c r="A22" s="14">
        <f>ROW()-4</f>
        <v>18</v>
      </c>
      <c r="B22" s="15" t="s">
        <v>14</v>
      </c>
      <c r="C22" s="15" t="s">
        <v>15</v>
      </c>
      <c r="D22" s="16" t="s">
        <v>16</v>
      </c>
      <c r="E22" s="33" t="s">
        <v>17</v>
      </c>
      <c r="F22" s="17" t="s">
        <v>18</v>
      </c>
      <c r="G22" s="18" t="s">
        <v>19</v>
      </c>
      <c r="H22" s="18" t="s">
        <v>20</v>
      </c>
      <c r="I22" s="17"/>
      <c r="J22" s="19">
        <f>IF(L22="Simple",60,IF(L22="Medium",120,240))*IF(M22="Low",50%,IF(M22="Medium",75%,100%))</f>
        <v>60</v>
      </c>
      <c r="K22" s="20"/>
      <c r="L22" s="20" t="s">
        <v>21</v>
      </c>
      <c r="M22" s="20" t="s">
        <v>22</v>
      </c>
    </row>
    <row r="23" spans="1:13" ht="50.7" customHeight="1" x14ac:dyDescent="0.4">
      <c r="A23" s="21">
        <f>ROW()-4</f>
        <v>19</v>
      </c>
      <c r="B23" s="22" t="s">
        <v>71</v>
      </c>
      <c r="C23" s="22" t="s">
        <v>72</v>
      </c>
      <c r="D23" s="23" t="s">
        <v>73</v>
      </c>
      <c r="E23" s="34" t="s">
        <v>26</v>
      </c>
      <c r="F23" s="24" t="s">
        <v>18</v>
      </c>
      <c r="G23" s="18" t="s">
        <v>19</v>
      </c>
      <c r="H23" s="18" t="s">
        <v>20</v>
      </c>
      <c r="I23" s="24"/>
      <c r="J23" s="25">
        <f>IF(L23="Simple",60,IF(L23="Medium",120,240))*IF(M23="Low",50%,IF(M23="Medium",75%,100%))</f>
        <v>120</v>
      </c>
      <c r="K23" s="26"/>
      <c r="L23" s="26" t="s">
        <v>29</v>
      </c>
      <c r="M23" s="26" t="s">
        <v>22</v>
      </c>
    </row>
    <row r="24" spans="1:13" ht="38" customHeight="1" x14ac:dyDescent="0.4">
      <c r="A24" s="21">
        <f>ROW()-4</f>
        <v>20</v>
      </c>
      <c r="B24" s="22" t="s">
        <v>81</v>
      </c>
      <c r="C24" s="22" t="s">
        <v>82</v>
      </c>
      <c r="D24" s="23" t="s">
        <v>83</v>
      </c>
      <c r="E24" s="34" t="s">
        <v>26</v>
      </c>
      <c r="F24" s="24" t="s">
        <v>18</v>
      </c>
      <c r="G24" s="18" t="s">
        <v>38</v>
      </c>
      <c r="H24" s="18" t="s">
        <v>39</v>
      </c>
      <c r="I24" s="24"/>
      <c r="J24" s="25">
        <f>IF(L24="Simple",60,IF(L24="Medium",120,240))*IF(M24="Low",50%,IF(M24="Medium",75%,100%))</f>
        <v>240</v>
      </c>
      <c r="K24" s="26"/>
      <c r="L24" s="26" t="s">
        <v>40</v>
      </c>
      <c r="M24" s="26" t="s">
        <v>22</v>
      </c>
    </row>
    <row r="25" spans="1:13" ht="38" customHeight="1" x14ac:dyDescent="0.4">
      <c r="A25" s="21">
        <f>ROW()-4</f>
        <v>21</v>
      </c>
      <c r="B25" s="22" t="s">
        <v>54</v>
      </c>
      <c r="C25" s="22" t="s">
        <v>55</v>
      </c>
      <c r="D25" s="23" t="s">
        <v>56</v>
      </c>
      <c r="E25" s="34" t="s">
        <v>26</v>
      </c>
      <c r="F25" s="24" t="s">
        <v>18</v>
      </c>
      <c r="G25" s="18" t="s">
        <v>38</v>
      </c>
      <c r="H25" s="18" t="s">
        <v>39</v>
      </c>
      <c r="I25" s="24"/>
      <c r="J25" s="25">
        <f>IF(L25="Simple",60,IF(L25="Medium",120,240))*IF(M25="Low",50%,IF(M25="Medium",75%,100%))</f>
        <v>240</v>
      </c>
      <c r="K25" s="26"/>
      <c r="L25" s="26" t="s">
        <v>40</v>
      </c>
      <c r="M25" s="26" t="s">
        <v>22</v>
      </c>
    </row>
  </sheetData>
  <autoFilter ref="A4:M25" xr:uid="{00000000-0001-0000-0000-000000000000}">
    <sortState xmlns:xlrd2="http://schemas.microsoft.com/office/spreadsheetml/2017/richdata2" ref="A5:M25">
      <sortCondition ref="C4:C25"/>
    </sortState>
  </autoFilter>
  <dataValidations count="3">
    <dataValidation type="list" allowBlank="1" showInputMessage="1" showErrorMessage="1" sqref="F5:F7" xr:uid="{00000000-0002-0000-0000-000000000000}">
      <formula1>"To Do, Doing, Done"</formula1>
    </dataValidation>
    <dataValidation type="list" allowBlank="1" showInputMessage="1" showErrorMessage="1" sqref="L5:L7" xr:uid="{00000000-0002-0000-0000-000001000000}">
      <formula1>"Simple, Medium, Complex"</formula1>
    </dataValidation>
    <dataValidation type="list" allowBlank="1" showInputMessage="1" showErrorMessage="1" sqref="M5:M7" xr:uid="{00000000-0002-0000-0000-000002000000}">
      <formula1>"Low, Medium, High"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5"/>
  <sheetViews>
    <sheetView tabSelected="1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5" sqref="E5"/>
    </sheetView>
  </sheetViews>
  <sheetFormatPr defaultColWidth="10.703125" defaultRowHeight="12.7" outlineLevelCol="1" x14ac:dyDescent="0.4"/>
  <cols>
    <col min="1" max="1" width="5.5859375" style="1" customWidth="1"/>
    <col min="2" max="2" width="21.76171875" style="2" bestFit="1" customWidth="1"/>
    <col min="3" max="3" width="11.5859375" style="2" bestFit="1" customWidth="1"/>
    <col min="4" max="4" width="59.234375" style="2" bestFit="1" customWidth="1" outlineLevel="1"/>
    <col min="5" max="5" width="16.29296875" style="2" bestFit="1" customWidth="1"/>
    <col min="6" max="6" width="9.234375" style="2" bestFit="1" customWidth="1"/>
    <col min="7" max="7" width="6.1171875" style="2" bestFit="1" customWidth="1"/>
    <col min="8" max="8" width="7.8203125" style="2" bestFit="1" customWidth="1"/>
    <col min="9" max="9" width="13.1171875" style="2" bestFit="1" customWidth="1" outlineLevel="1"/>
    <col min="10" max="10" width="4.46875" style="2" bestFit="1" customWidth="1"/>
    <col min="11" max="11" width="20.17578125" style="2" bestFit="1" customWidth="1" outlineLevel="1"/>
    <col min="12" max="12" width="10.17578125" style="2" bestFit="1" customWidth="1" outlineLevel="1"/>
    <col min="13" max="13" width="6.64453125" style="2" bestFit="1" customWidth="1" outlineLevel="1"/>
    <col min="14" max="14" width="9" style="2" bestFit="1" customWidth="1"/>
    <col min="15" max="15" width="14.76171875" style="2" bestFit="1" customWidth="1"/>
    <col min="16" max="16" width="11.17578125" style="2" bestFit="1" customWidth="1"/>
    <col min="17" max="19" width="10.703125" style="2" customWidth="1"/>
    <col min="20" max="16384" width="10.703125" style="2"/>
  </cols>
  <sheetData>
    <row r="1" spans="1:16" ht="17.45" customHeight="1" x14ac:dyDescent="0.4">
      <c r="A1" s="32" t="s">
        <v>88</v>
      </c>
    </row>
    <row r="2" spans="1:16" x14ac:dyDescent="0.4">
      <c r="A2" s="5" t="s">
        <v>89</v>
      </c>
    </row>
    <row r="3" spans="1:16" x14ac:dyDescent="0.4">
      <c r="A3" s="5" t="s">
        <v>90</v>
      </c>
    </row>
    <row r="4" spans="1:16" x14ac:dyDescent="0.4">
      <c r="A4" s="4" t="s">
        <v>1</v>
      </c>
      <c r="B4" s="3" t="s">
        <v>91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92</v>
      </c>
      <c r="H4" s="3" t="s">
        <v>93</v>
      </c>
      <c r="I4" s="3" t="s">
        <v>94</v>
      </c>
      <c r="J4" s="7" t="s">
        <v>10</v>
      </c>
      <c r="K4" s="7" t="s">
        <v>11</v>
      </c>
      <c r="L4" s="7" t="s">
        <v>12</v>
      </c>
      <c r="M4" s="7" t="s">
        <v>13</v>
      </c>
      <c r="N4" s="8" t="s">
        <v>95</v>
      </c>
      <c r="O4" s="8" t="s">
        <v>96</v>
      </c>
      <c r="P4" s="8" t="s">
        <v>97</v>
      </c>
    </row>
    <row r="5" spans="1:16" ht="26.45" customHeight="1" x14ac:dyDescent="0.4">
      <c r="A5" s="14">
        <f t="shared" ref="A5:A25" si="0">ROW()-4</f>
        <v>1</v>
      </c>
      <c r="B5" s="15" t="s">
        <v>14</v>
      </c>
      <c r="C5" s="15" t="s">
        <v>15</v>
      </c>
      <c r="D5" s="16" t="s">
        <v>16</v>
      </c>
      <c r="E5" s="30" t="s">
        <v>17</v>
      </c>
      <c r="F5" s="15" t="s">
        <v>18</v>
      </c>
      <c r="G5" s="15" t="s">
        <v>98</v>
      </c>
      <c r="H5" s="15" t="s">
        <v>98</v>
      </c>
      <c r="I5" s="15"/>
      <c r="J5" s="27">
        <f t="shared" ref="J5:J25" si="1">IF(L5="Simple",60,IF(L5="Medium",120,240))*IF(M5="Low",50%,IF(M5="Medium",75%,100%))</f>
        <v>60</v>
      </c>
      <c r="K5" s="20"/>
      <c r="L5" s="20" t="s">
        <v>21</v>
      </c>
      <c r="M5" s="20" t="s">
        <v>22</v>
      </c>
      <c r="N5" s="27">
        <f t="shared" ref="N5:N25" si="2">IF(O5="Simple",60,IF(O5="Medium",120,240))*IF(P5="Low",50%,IF(P5="Medium",75%,100%))</f>
        <v>60</v>
      </c>
      <c r="O5" s="20" t="s">
        <v>21</v>
      </c>
      <c r="P5" s="20" t="s">
        <v>22</v>
      </c>
    </row>
    <row r="6" spans="1:16" ht="26.45" customHeight="1" x14ac:dyDescent="0.4">
      <c r="A6" s="14">
        <f t="shared" si="0"/>
        <v>2</v>
      </c>
      <c r="B6" s="15" t="s">
        <v>23</v>
      </c>
      <c r="C6" s="15" t="s">
        <v>24</v>
      </c>
      <c r="D6" s="16" t="s">
        <v>25</v>
      </c>
      <c r="E6" s="30" t="s">
        <v>26</v>
      </c>
      <c r="F6" s="15" t="s">
        <v>18</v>
      </c>
      <c r="G6" s="15" t="s">
        <v>99</v>
      </c>
      <c r="H6" s="15" t="s">
        <v>100</v>
      </c>
      <c r="I6" s="15"/>
      <c r="J6" s="27">
        <f t="shared" si="1"/>
        <v>120</v>
      </c>
      <c r="K6" s="20"/>
      <c r="L6" s="20" t="s">
        <v>29</v>
      </c>
      <c r="M6" s="20" t="s">
        <v>22</v>
      </c>
      <c r="N6" s="27">
        <f t="shared" si="2"/>
        <v>120</v>
      </c>
      <c r="O6" s="20" t="s">
        <v>29</v>
      </c>
      <c r="P6" s="20" t="s">
        <v>22</v>
      </c>
    </row>
    <row r="7" spans="1:16" ht="26.45" customHeight="1" x14ac:dyDescent="0.4">
      <c r="A7" s="14">
        <f t="shared" si="0"/>
        <v>3</v>
      </c>
      <c r="B7" s="15" t="s">
        <v>30</v>
      </c>
      <c r="C7" s="15" t="s">
        <v>31</v>
      </c>
      <c r="D7" s="16" t="s">
        <v>32</v>
      </c>
      <c r="E7" s="30" t="s">
        <v>17</v>
      </c>
      <c r="F7" s="15" t="s">
        <v>18</v>
      </c>
      <c r="G7" s="15" t="s">
        <v>101</v>
      </c>
      <c r="H7" s="15" t="s">
        <v>101</v>
      </c>
      <c r="I7" s="15"/>
      <c r="J7" s="27">
        <f t="shared" si="1"/>
        <v>120</v>
      </c>
      <c r="K7" s="20"/>
      <c r="L7" s="20" t="s">
        <v>29</v>
      </c>
      <c r="M7" s="20" t="s">
        <v>22</v>
      </c>
      <c r="N7" s="27">
        <f t="shared" si="2"/>
        <v>120</v>
      </c>
      <c r="O7" s="20" t="s">
        <v>29</v>
      </c>
      <c r="P7" s="20" t="s">
        <v>22</v>
      </c>
    </row>
    <row r="8" spans="1:16" ht="52.95" customHeight="1" x14ac:dyDescent="0.4">
      <c r="A8" s="14">
        <f t="shared" si="0"/>
        <v>4</v>
      </c>
      <c r="B8" s="15" t="s">
        <v>35</v>
      </c>
      <c r="C8" s="15" t="s">
        <v>36</v>
      </c>
      <c r="D8" s="28" t="s">
        <v>37</v>
      </c>
      <c r="E8" s="30" t="s">
        <v>26</v>
      </c>
      <c r="F8" s="15" t="s">
        <v>18</v>
      </c>
      <c r="G8" s="15" t="s">
        <v>102</v>
      </c>
      <c r="H8" s="15" t="s">
        <v>102</v>
      </c>
      <c r="I8" s="15"/>
      <c r="J8" s="27">
        <f t="shared" si="1"/>
        <v>240</v>
      </c>
      <c r="K8" s="20"/>
      <c r="L8" s="20" t="s">
        <v>40</v>
      </c>
      <c r="M8" s="20" t="s">
        <v>22</v>
      </c>
      <c r="N8" s="27">
        <f t="shared" si="2"/>
        <v>240</v>
      </c>
      <c r="O8" s="20" t="s">
        <v>40</v>
      </c>
      <c r="P8" s="20" t="s">
        <v>22</v>
      </c>
    </row>
    <row r="9" spans="1:16" ht="25.35" customHeight="1" x14ac:dyDescent="0.4">
      <c r="A9" s="14">
        <f t="shared" si="0"/>
        <v>5</v>
      </c>
      <c r="B9" s="22" t="s">
        <v>41</v>
      </c>
      <c r="C9" s="22" t="s">
        <v>36</v>
      </c>
      <c r="D9" s="23" t="s">
        <v>42</v>
      </c>
      <c r="E9" s="31" t="s">
        <v>43</v>
      </c>
      <c r="F9" s="22" t="s">
        <v>18</v>
      </c>
      <c r="G9" s="22" t="s">
        <v>98</v>
      </c>
      <c r="H9" s="22" t="s">
        <v>100</v>
      </c>
      <c r="I9" s="22"/>
      <c r="J9" s="29">
        <f t="shared" si="1"/>
        <v>240</v>
      </c>
      <c r="K9" s="26"/>
      <c r="L9" s="26" t="s">
        <v>40</v>
      </c>
      <c r="M9" s="26" t="s">
        <v>22</v>
      </c>
      <c r="N9" s="29">
        <f t="shared" si="2"/>
        <v>240</v>
      </c>
      <c r="O9" s="26" t="s">
        <v>40</v>
      </c>
      <c r="P9" s="26" t="s">
        <v>22</v>
      </c>
    </row>
    <row r="10" spans="1:16" ht="25.35" customHeight="1" x14ac:dyDescent="0.4">
      <c r="A10" s="14">
        <f t="shared" si="0"/>
        <v>6</v>
      </c>
      <c r="B10" s="22" t="s">
        <v>46</v>
      </c>
      <c r="C10" s="22" t="s">
        <v>15</v>
      </c>
      <c r="D10" s="23" t="s">
        <v>47</v>
      </c>
      <c r="E10" s="31" t="s">
        <v>48</v>
      </c>
      <c r="F10" s="22" t="s">
        <v>18</v>
      </c>
      <c r="G10" s="22" t="s">
        <v>99</v>
      </c>
      <c r="H10" s="22" t="s">
        <v>99</v>
      </c>
      <c r="I10" s="22"/>
      <c r="J10" s="29">
        <f t="shared" si="1"/>
        <v>60</v>
      </c>
      <c r="K10" s="26"/>
      <c r="L10" s="26" t="s">
        <v>21</v>
      </c>
      <c r="M10" s="26" t="s">
        <v>22</v>
      </c>
      <c r="N10" s="29">
        <f t="shared" si="2"/>
        <v>60</v>
      </c>
      <c r="O10" s="26" t="s">
        <v>21</v>
      </c>
      <c r="P10" s="26" t="s">
        <v>22</v>
      </c>
    </row>
    <row r="11" spans="1:16" ht="25.35" customHeight="1" x14ac:dyDescent="0.4">
      <c r="A11" s="14">
        <f t="shared" si="0"/>
        <v>7</v>
      </c>
      <c r="B11" s="22" t="s">
        <v>49</v>
      </c>
      <c r="C11" s="22" t="s">
        <v>50</v>
      </c>
      <c r="D11" s="23" t="s">
        <v>51</v>
      </c>
      <c r="E11" s="31" t="s">
        <v>26</v>
      </c>
      <c r="F11" s="22" t="s">
        <v>18</v>
      </c>
      <c r="G11" s="22" t="s">
        <v>101</v>
      </c>
      <c r="H11" s="22" t="s">
        <v>101</v>
      </c>
      <c r="I11" s="22"/>
      <c r="J11" s="29">
        <f t="shared" si="1"/>
        <v>240</v>
      </c>
      <c r="K11" s="26"/>
      <c r="L11" s="26" t="s">
        <v>40</v>
      </c>
      <c r="M11" s="26" t="s">
        <v>22</v>
      </c>
      <c r="N11" s="29">
        <f t="shared" si="2"/>
        <v>240</v>
      </c>
      <c r="O11" s="26" t="s">
        <v>40</v>
      </c>
      <c r="P11" s="26" t="s">
        <v>22</v>
      </c>
    </row>
    <row r="12" spans="1:16" ht="25.35" customHeight="1" x14ac:dyDescent="0.4">
      <c r="A12" s="14">
        <f t="shared" si="0"/>
        <v>8</v>
      </c>
      <c r="B12" s="22" t="s">
        <v>52</v>
      </c>
      <c r="C12" s="22" t="s">
        <v>24</v>
      </c>
      <c r="D12" s="23" t="s">
        <v>53</v>
      </c>
      <c r="E12" s="31" t="s">
        <v>26</v>
      </c>
      <c r="F12" s="22" t="s">
        <v>18</v>
      </c>
      <c r="G12" s="22" t="s">
        <v>102</v>
      </c>
      <c r="H12" s="22" t="s">
        <v>100</v>
      </c>
      <c r="I12" s="22"/>
      <c r="J12" s="29">
        <f t="shared" si="1"/>
        <v>120</v>
      </c>
      <c r="K12" s="26"/>
      <c r="L12" s="26" t="s">
        <v>29</v>
      </c>
      <c r="M12" s="26" t="s">
        <v>22</v>
      </c>
      <c r="N12" s="29">
        <f t="shared" si="2"/>
        <v>120</v>
      </c>
      <c r="O12" s="26" t="s">
        <v>29</v>
      </c>
      <c r="P12" s="26" t="s">
        <v>22</v>
      </c>
    </row>
    <row r="13" spans="1:16" ht="38" customHeight="1" x14ac:dyDescent="0.4">
      <c r="A13" s="14">
        <f t="shared" si="0"/>
        <v>9</v>
      </c>
      <c r="B13" s="22" t="s">
        <v>54</v>
      </c>
      <c r="C13" s="22" t="s">
        <v>55</v>
      </c>
      <c r="D13" s="23" t="s">
        <v>56</v>
      </c>
      <c r="E13" s="31" t="s">
        <v>26</v>
      </c>
      <c r="F13" s="22" t="s">
        <v>18</v>
      </c>
      <c r="G13" s="22" t="s">
        <v>98</v>
      </c>
      <c r="H13" s="22" t="s">
        <v>98</v>
      </c>
      <c r="I13" s="22"/>
      <c r="J13" s="29">
        <f t="shared" si="1"/>
        <v>240</v>
      </c>
      <c r="K13" s="26"/>
      <c r="L13" s="26" t="s">
        <v>40</v>
      </c>
      <c r="M13" s="26" t="s">
        <v>22</v>
      </c>
      <c r="N13" s="29">
        <f t="shared" si="2"/>
        <v>240</v>
      </c>
      <c r="O13" s="26" t="s">
        <v>40</v>
      </c>
      <c r="P13" s="26" t="s">
        <v>22</v>
      </c>
    </row>
    <row r="14" spans="1:16" ht="38" customHeight="1" x14ac:dyDescent="0.4">
      <c r="A14" s="14">
        <f t="shared" si="0"/>
        <v>10</v>
      </c>
      <c r="B14" s="22" t="s">
        <v>57</v>
      </c>
      <c r="C14" s="22" t="s">
        <v>58</v>
      </c>
      <c r="D14" s="23" t="s">
        <v>59</v>
      </c>
      <c r="E14" s="31" t="s">
        <v>26</v>
      </c>
      <c r="F14" s="22" t="s">
        <v>18</v>
      </c>
      <c r="G14" s="22" t="s">
        <v>99</v>
      </c>
      <c r="H14" s="22" t="s">
        <v>99</v>
      </c>
      <c r="I14" s="22"/>
      <c r="J14" s="29">
        <f t="shared" si="1"/>
        <v>120</v>
      </c>
      <c r="K14" s="26"/>
      <c r="L14" s="26" t="s">
        <v>29</v>
      </c>
      <c r="M14" s="26" t="s">
        <v>22</v>
      </c>
      <c r="N14" s="29">
        <f t="shared" si="2"/>
        <v>120</v>
      </c>
      <c r="O14" s="26" t="s">
        <v>29</v>
      </c>
      <c r="P14" s="26" t="s">
        <v>22</v>
      </c>
    </row>
    <row r="15" spans="1:16" ht="38" customHeight="1" x14ac:dyDescent="0.4">
      <c r="A15" s="14">
        <f t="shared" si="0"/>
        <v>11</v>
      </c>
      <c r="B15" s="22" t="s">
        <v>60</v>
      </c>
      <c r="C15" s="22" t="s">
        <v>61</v>
      </c>
      <c r="D15" s="23" t="s">
        <v>62</v>
      </c>
      <c r="E15" s="31" t="s">
        <v>26</v>
      </c>
      <c r="F15" s="22" t="s">
        <v>18</v>
      </c>
      <c r="G15" s="22" t="s">
        <v>101</v>
      </c>
      <c r="H15" s="22" t="s">
        <v>100</v>
      </c>
      <c r="I15" s="22"/>
      <c r="J15" s="29">
        <f t="shared" si="1"/>
        <v>240</v>
      </c>
      <c r="K15" s="26"/>
      <c r="L15" s="26" t="s">
        <v>40</v>
      </c>
      <c r="M15" s="26" t="s">
        <v>22</v>
      </c>
      <c r="N15" s="29">
        <f t="shared" si="2"/>
        <v>240</v>
      </c>
      <c r="O15" s="26" t="s">
        <v>40</v>
      </c>
      <c r="P15" s="26" t="s">
        <v>22</v>
      </c>
    </row>
    <row r="16" spans="1:16" ht="38" customHeight="1" x14ac:dyDescent="0.4">
      <c r="A16" s="14">
        <f t="shared" si="0"/>
        <v>12</v>
      </c>
      <c r="B16" s="22" t="s">
        <v>63</v>
      </c>
      <c r="C16" s="22" t="s">
        <v>36</v>
      </c>
      <c r="D16" s="23" t="s">
        <v>64</v>
      </c>
      <c r="E16" s="31" t="s">
        <v>43</v>
      </c>
      <c r="F16" s="22" t="s">
        <v>18</v>
      </c>
      <c r="G16" s="22" t="s">
        <v>102</v>
      </c>
      <c r="H16" s="22" t="s">
        <v>102</v>
      </c>
      <c r="I16" s="22"/>
      <c r="J16" s="29">
        <f t="shared" si="1"/>
        <v>240</v>
      </c>
      <c r="K16" s="26"/>
      <c r="L16" s="26" t="s">
        <v>40</v>
      </c>
      <c r="M16" s="26" t="s">
        <v>22</v>
      </c>
      <c r="N16" s="29">
        <f t="shared" si="2"/>
        <v>240</v>
      </c>
      <c r="O16" s="26" t="s">
        <v>40</v>
      </c>
      <c r="P16" s="26" t="s">
        <v>22</v>
      </c>
    </row>
    <row r="17" spans="1:16" ht="25.35" customHeight="1" x14ac:dyDescent="0.4">
      <c r="A17" s="14">
        <f t="shared" si="0"/>
        <v>13</v>
      </c>
      <c r="B17" s="22" t="s">
        <v>65</v>
      </c>
      <c r="C17" s="22" t="s">
        <v>50</v>
      </c>
      <c r="D17" s="23" t="s">
        <v>66</v>
      </c>
      <c r="E17" s="31" t="s">
        <v>17</v>
      </c>
      <c r="F17" s="22" t="s">
        <v>18</v>
      </c>
      <c r="G17" s="22" t="s">
        <v>98</v>
      </c>
      <c r="H17" s="22" t="s">
        <v>98</v>
      </c>
      <c r="I17" s="22"/>
      <c r="J17" s="29">
        <f t="shared" si="1"/>
        <v>120</v>
      </c>
      <c r="K17" s="26"/>
      <c r="L17" s="26" t="s">
        <v>29</v>
      </c>
      <c r="M17" s="26" t="s">
        <v>22</v>
      </c>
      <c r="N17" s="29">
        <f t="shared" si="2"/>
        <v>120</v>
      </c>
      <c r="O17" s="26" t="s">
        <v>29</v>
      </c>
      <c r="P17" s="26" t="s">
        <v>22</v>
      </c>
    </row>
    <row r="18" spans="1:16" ht="25.35" customHeight="1" x14ac:dyDescent="0.4">
      <c r="A18" s="14">
        <f t="shared" si="0"/>
        <v>14</v>
      </c>
      <c r="B18" s="22" t="s">
        <v>67</v>
      </c>
      <c r="C18" s="22" t="s">
        <v>36</v>
      </c>
      <c r="D18" s="23" t="s">
        <v>68</v>
      </c>
      <c r="E18" s="31" t="s">
        <v>17</v>
      </c>
      <c r="F18" s="22" t="s">
        <v>18</v>
      </c>
      <c r="G18" s="22" t="s">
        <v>99</v>
      </c>
      <c r="H18" s="22" t="s">
        <v>100</v>
      </c>
      <c r="I18" s="22"/>
      <c r="J18" s="29">
        <f t="shared" si="1"/>
        <v>60</v>
      </c>
      <c r="K18" s="26"/>
      <c r="L18" s="26" t="s">
        <v>21</v>
      </c>
      <c r="M18" s="26" t="s">
        <v>22</v>
      </c>
      <c r="N18" s="29">
        <f t="shared" si="2"/>
        <v>60</v>
      </c>
      <c r="O18" s="26" t="s">
        <v>21</v>
      </c>
      <c r="P18" s="26" t="s">
        <v>22</v>
      </c>
    </row>
    <row r="19" spans="1:16" ht="25.35" customHeight="1" x14ac:dyDescent="0.4">
      <c r="A19" s="14">
        <f t="shared" si="0"/>
        <v>15</v>
      </c>
      <c r="B19" s="22" t="s">
        <v>69</v>
      </c>
      <c r="C19" s="22" t="s">
        <v>50</v>
      </c>
      <c r="D19" s="23" t="s">
        <v>70</v>
      </c>
      <c r="E19" s="31" t="s">
        <v>48</v>
      </c>
      <c r="F19" s="22" t="s">
        <v>18</v>
      </c>
      <c r="G19" s="22" t="s">
        <v>101</v>
      </c>
      <c r="H19" s="22" t="s">
        <v>101</v>
      </c>
      <c r="I19" s="22"/>
      <c r="J19" s="29">
        <f t="shared" si="1"/>
        <v>240</v>
      </c>
      <c r="K19" s="26"/>
      <c r="L19" s="26" t="s">
        <v>40</v>
      </c>
      <c r="M19" s="26" t="s">
        <v>22</v>
      </c>
      <c r="N19" s="29">
        <f t="shared" si="2"/>
        <v>240</v>
      </c>
      <c r="O19" s="26" t="s">
        <v>40</v>
      </c>
      <c r="P19" s="26" t="s">
        <v>22</v>
      </c>
    </row>
    <row r="20" spans="1:16" ht="25.35" customHeight="1" x14ac:dyDescent="0.4">
      <c r="A20" s="14">
        <f t="shared" si="0"/>
        <v>16</v>
      </c>
      <c r="B20" s="22" t="s">
        <v>71</v>
      </c>
      <c r="C20" s="22" t="s">
        <v>72</v>
      </c>
      <c r="D20" s="23" t="s">
        <v>73</v>
      </c>
      <c r="E20" s="31" t="s">
        <v>26</v>
      </c>
      <c r="F20" s="22" t="s">
        <v>18</v>
      </c>
      <c r="G20" s="22" t="s">
        <v>102</v>
      </c>
      <c r="H20" s="22" t="s">
        <v>102</v>
      </c>
      <c r="I20" s="22"/>
      <c r="J20" s="29">
        <f t="shared" si="1"/>
        <v>120</v>
      </c>
      <c r="K20" s="26"/>
      <c r="L20" s="26" t="s">
        <v>29</v>
      </c>
      <c r="M20" s="26" t="s">
        <v>22</v>
      </c>
      <c r="N20" s="29">
        <f t="shared" si="2"/>
        <v>120</v>
      </c>
      <c r="O20" s="26" t="s">
        <v>29</v>
      </c>
      <c r="P20" s="26" t="s">
        <v>22</v>
      </c>
    </row>
    <row r="21" spans="1:16" ht="25.35" customHeight="1" x14ac:dyDescent="0.4">
      <c r="A21" s="14">
        <f t="shared" si="0"/>
        <v>17</v>
      </c>
      <c r="B21" s="22" t="s">
        <v>74</v>
      </c>
      <c r="C21" s="22" t="s">
        <v>75</v>
      </c>
      <c r="D21" s="23" t="s">
        <v>76</v>
      </c>
      <c r="E21" s="31" t="s">
        <v>48</v>
      </c>
      <c r="F21" s="22" t="s">
        <v>18</v>
      </c>
      <c r="G21" s="22" t="s">
        <v>98</v>
      </c>
      <c r="H21" s="22" t="s">
        <v>100</v>
      </c>
      <c r="I21" s="22"/>
      <c r="J21" s="29">
        <f t="shared" si="1"/>
        <v>240</v>
      </c>
      <c r="K21" s="26"/>
      <c r="L21" s="26" t="s">
        <v>40</v>
      </c>
      <c r="M21" s="26" t="s">
        <v>22</v>
      </c>
      <c r="N21" s="29">
        <f t="shared" si="2"/>
        <v>240</v>
      </c>
      <c r="O21" s="26" t="s">
        <v>40</v>
      </c>
      <c r="P21" s="26" t="s">
        <v>22</v>
      </c>
    </row>
    <row r="22" spans="1:16" ht="25.35" customHeight="1" x14ac:dyDescent="0.4">
      <c r="A22" s="14">
        <f t="shared" si="0"/>
        <v>18</v>
      </c>
      <c r="B22" s="22" t="s">
        <v>77</v>
      </c>
      <c r="C22" s="22" t="s">
        <v>78</v>
      </c>
      <c r="D22" s="23" t="s">
        <v>79</v>
      </c>
      <c r="E22" s="31" t="s">
        <v>80</v>
      </c>
      <c r="F22" s="22" t="s">
        <v>18</v>
      </c>
      <c r="G22" s="22" t="s">
        <v>99</v>
      </c>
      <c r="H22" s="22" t="s">
        <v>99</v>
      </c>
      <c r="I22" s="22"/>
      <c r="J22" s="29">
        <f t="shared" si="1"/>
        <v>60</v>
      </c>
      <c r="K22" s="26"/>
      <c r="L22" s="26" t="s">
        <v>21</v>
      </c>
      <c r="M22" s="26" t="s">
        <v>22</v>
      </c>
      <c r="N22" s="29">
        <f t="shared" si="2"/>
        <v>60</v>
      </c>
      <c r="O22" s="26" t="s">
        <v>21</v>
      </c>
      <c r="P22" s="26" t="s">
        <v>22</v>
      </c>
    </row>
    <row r="23" spans="1:16" ht="38" customHeight="1" x14ac:dyDescent="0.4">
      <c r="A23" s="14">
        <f t="shared" si="0"/>
        <v>19</v>
      </c>
      <c r="B23" s="22" t="s">
        <v>81</v>
      </c>
      <c r="C23" s="22" t="s">
        <v>82</v>
      </c>
      <c r="D23" s="23" t="s">
        <v>83</v>
      </c>
      <c r="E23" s="31" t="s">
        <v>26</v>
      </c>
      <c r="F23" s="22" t="s">
        <v>18</v>
      </c>
      <c r="G23" s="22" t="s">
        <v>101</v>
      </c>
      <c r="H23" s="22" t="s">
        <v>101</v>
      </c>
      <c r="I23" s="22"/>
      <c r="J23" s="29">
        <f t="shared" si="1"/>
        <v>240</v>
      </c>
      <c r="K23" s="26"/>
      <c r="L23" s="26" t="s">
        <v>40</v>
      </c>
      <c r="M23" s="26" t="s">
        <v>22</v>
      </c>
      <c r="N23" s="29">
        <f t="shared" si="2"/>
        <v>240</v>
      </c>
      <c r="O23" s="26" t="s">
        <v>40</v>
      </c>
      <c r="P23" s="26" t="s">
        <v>22</v>
      </c>
    </row>
    <row r="24" spans="1:16" ht="38" customHeight="1" x14ac:dyDescent="0.4">
      <c r="A24" s="14">
        <f t="shared" si="0"/>
        <v>20</v>
      </c>
      <c r="B24" s="22" t="s">
        <v>84</v>
      </c>
      <c r="C24" s="22" t="s">
        <v>75</v>
      </c>
      <c r="D24" s="23" t="s">
        <v>85</v>
      </c>
      <c r="E24" s="31" t="s">
        <v>48</v>
      </c>
      <c r="F24" s="22" t="s">
        <v>18</v>
      </c>
      <c r="G24" s="22" t="s">
        <v>102</v>
      </c>
      <c r="H24" s="22" t="s">
        <v>100</v>
      </c>
      <c r="I24" s="22"/>
      <c r="J24" s="29">
        <f t="shared" si="1"/>
        <v>240</v>
      </c>
      <c r="K24" s="26"/>
      <c r="L24" s="26" t="s">
        <v>40</v>
      </c>
      <c r="M24" s="26" t="s">
        <v>22</v>
      </c>
      <c r="N24" s="29">
        <f t="shared" si="2"/>
        <v>240</v>
      </c>
      <c r="O24" s="26" t="s">
        <v>40</v>
      </c>
      <c r="P24" s="26" t="s">
        <v>22</v>
      </c>
    </row>
    <row r="25" spans="1:16" ht="38" customHeight="1" x14ac:dyDescent="0.4">
      <c r="A25" s="14">
        <f t="shared" si="0"/>
        <v>21</v>
      </c>
      <c r="B25" s="22" t="s">
        <v>86</v>
      </c>
      <c r="C25" s="22" t="s">
        <v>75</v>
      </c>
      <c r="D25" s="23" t="s">
        <v>87</v>
      </c>
      <c r="E25" s="31" t="s">
        <v>26</v>
      </c>
      <c r="F25" s="22" t="s">
        <v>18</v>
      </c>
      <c r="G25" s="22" t="s">
        <v>98</v>
      </c>
      <c r="H25" s="22" t="s">
        <v>98</v>
      </c>
      <c r="I25" s="22"/>
      <c r="J25" s="29">
        <f t="shared" si="1"/>
        <v>240</v>
      </c>
      <c r="K25" s="26"/>
      <c r="L25" s="26" t="s">
        <v>40</v>
      </c>
      <c r="M25" s="26" t="s">
        <v>22</v>
      </c>
      <c r="N25" s="29">
        <f t="shared" si="2"/>
        <v>240</v>
      </c>
      <c r="O25" s="26" t="s">
        <v>40</v>
      </c>
      <c r="P25" s="26" t="s">
        <v>22</v>
      </c>
    </row>
  </sheetData>
  <dataValidations count="6">
    <dataValidation type="list" allowBlank="1" showInputMessage="1" showErrorMessage="1" sqref="H5:H8" xr:uid="{00000000-0002-0000-0100-000000000000}">
      <formula1>"none, iter2, iter3, iter4"</formula1>
    </dataValidation>
    <dataValidation type="list" allowBlank="1" showInputMessage="1" showErrorMessage="1" sqref="G5" xr:uid="{00000000-0002-0000-0100-000001000000}">
      <formula1>"iter1, iter2, iter3, iter4"</formula1>
    </dataValidation>
    <dataValidation type="list" allowBlank="1" showInputMessage="1" showErrorMessage="1" sqref="G6:G8" xr:uid="{00000000-0002-0000-0100-000002000000}">
      <formula1>"iter2, iter3, iter4, iter5"</formula1>
    </dataValidation>
    <dataValidation type="list" allowBlank="1" showInputMessage="1" showErrorMessage="1" sqref="F5:F8" xr:uid="{00000000-0002-0000-0100-000003000000}">
      <formula1>"To Do, Doing, Done, Updated"</formula1>
    </dataValidation>
    <dataValidation type="list" allowBlank="1" showInputMessage="1" showErrorMessage="1" sqref="M5:M8 P5:P8" xr:uid="{00000000-0002-0000-0100-000004000000}">
      <formula1>"Low, Medium, High"</formula1>
    </dataValidation>
    <dataValidation type="list" allowBlank="1" showInputMessage="1" showErrorMessage="1" sqref="L5:L8 O5:O8" xr:uid="{00000000-0002-0000-0100-000005000000}">
      <formula1>"Simple, Medium, Complex"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IterX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Thuận Nguyễn</cp:lastModifiedBy>
  <dcterms:created xsi:type="dcterms:W3CDTF">2021-07-20T01:09:05Z</dcterms:created>
  <dcterms:modified xsi:type="dcterms:W3CDTF">2026-07-20T14:50:08Z</dcterms:modified>
</cp:coreProperties>
</file>