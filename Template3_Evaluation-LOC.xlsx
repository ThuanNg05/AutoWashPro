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3" yWindow="-93" windowWidth="25786" windowHeight="13986" tabRatio="600" firstSheet="0" activeTab="1" autoFilterDateGrouping="1"/>
  </bookViews>
  <sheets>
    <sheet name="IterX" sheetId="1" state="visible" r:id="rId1"/>
    <sheet name="FINAL" sheetId="2" state="visible" r:id="rId2"/>
  </sheets>
  <definedNames>
    <definedName name="_xlnm._FilterDatabase" localSheetId="1" hidden="1">'FINAL'!$A$4:$D$8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</font>
    <font>
      <name val="Calibri"/>
      <family val="2"/>
      <color theme="1"/>
      <sz val="12"/>
      <scheme val="minor"/>
    </font>
    <font>
      <name val="Arial"/>
      <family val="2"/>
      <color rgb="FF00000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4"/>
    </font>
    <font>
      <name val="Arial"/>
      <family val="2"/>
      <i val="1"/>
      <color rgb="FFC00000"/>
      <sz val="10"/>
    </font>
    <font>
      <name val="Arial"/>
      <family val="2"/>
      <b val="1"/>
      <color rgb="FF000000"/>
      <sz val="10"/>
    </font>
    <font>
      <name val="Arial"/>
      <sz val="10"/>
    </font>
    <font>
      <name val="Arial"/>
      <color theme="1"/>
      <sz val="10"/>
    </font>
  </fonts>
  <fills count="7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7CAAC"/>
        <bgColor rgb="FFF7CAAC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399975585192419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0" fontId="1" fillId="0" borderId="0"/>
  </cellStyleXfs>
  <cellXfs count="35">
    <xf numFmtId="0" fontId="0" fillId="0" borderId="0" pivotButton="0" quotePrefix="0" xfId="0"/>
    <xf numFmtId="0" fontId="2" fillId="0" borderId="0" applyAlignment="1" pivotButton="0" quotePrefix="0" xfId="1">
      <alignment horizontal="center" vertical="top"/>
    </xf>
    <xf numFmtId="0" fontId="2" fillId="0" borderId="0" applyAlignment="1" pivotButton="0" quotePrefix="0" xfId="1">
      <alignment vertical="top"/>
    </xf>
    <xf numFmtId="0" fontId="4" fillId="2" borderId="1" applyAlignment="1" pivotButton="0" quotePrefix="0" xfId="1">
      <alignment vertical="top"/>
    </xf>
    <xf numFmtId="0" fontId="3" fillId="2" borderId="1" applyAlignment="1" pivotButton="0" quotePrefix="0" xfId="1">
      <alignment horizontal="left" vertical="top"/>
    </xf>
    <xf numFmtId="0" fontId="6" fillId="0" borderId="0" applyAlignment="1" pivotButton="0" quotePrefix="0" xfId="1">
      <alignment horizontal="left" vertical="top"/>
    </xf>
    <xf numFmtId="0" fontId="7" fillId="0" borderId="0" applyAlignment="1" pivotButton="0" quotePrefix="0" xfId="1">
      <alignment horizontal="left" vertical="top"/>
    </xf>
    <xf numFmtId="0" fontId="6" fillId="0" borderId="0" applyAlignment="1" pivotButton="0" quotePrefix="0" xfId="0">
      <alignment horizontal="left" vertical="top"/>
    </xf>
    <xf numFmtId="0" fontId="8" fillId="4" borderId="1" applyAlignment="1" pivotButton="0" quotePrefix="0" xfId="1">
      <alignment vertical="top"/>
    </xf>
    <xf numFmtId="0" fontId="8" fillId="6" borderId="1" applyAlignment="1" pivotButton="0" quotePrefix="0" xfId="1">
      <alignment vertical="top"/>
    </xf>
    <xf numFmtId="0" fontId="2" fillId="0" borderId="0" applyAlignment="1" pivotButton="0" quotePrefix="0" xfId="1">
      <alignment horizontal="center" vertical="center"/>
    </xf>
    <xf numFmtId="0" fontId="4" fillId="2" borderId="1" applyAlignment="1" pivotButton="0" quotePrefix="0" xfId="1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2" fillId="0" borderId="0" applyAlignment="1" pivotButton="0" quotePrefix="0" xfId="1">
      <alignment horizontal="left" vertical="top"/>
    </xf>
    <xf numFmtId="0" fontId="9" fillId="0" borderId="2" applyAlignment="1" pivotButton="0" quotePrefix="0" xfId="1">
      <alignment horizontal="center" vertical="top"/>
    </xf>
    <xf numFmtId="0" fontId="9" fillId="0" borderId="2" applyAlignment="1" pivotButton="0" quotePrefix="0" xfId="1">
      <alignment vertical="top"/>
    </xf>
    <xf numFmtId="0" fontId="9" fillId="0" borderId="2" applyAlignment="1" pivotButton="0" quotePrefix="0" xfId="1">
      <alignment vertical="top" wrapText="1"/>
    </xf>
    <xf numFmtId="0" fontId="10" fillId="0" borderId="2" applyAlignment="1" pivotButton="0" quotePrefix="0" xfId="2">
      <alignment horizontal="center" vertical="center" wrapText="1"/>
    </xf>
    <xf numFmtId="0" fontId="9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5" borderId="2" applyAlignment="1" pivotButton="0" quotePrefix="0" xfId="1">
      <alignment horizontal="center" vertical="center"/>
    </xf>
    <xf numFmtId="0" fontId="0" fillId="0" borderId="2" applyAlignment="1" pivotButton="0" quotePrefix="0" xfId="1">
      <alignment vertical="top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/>
    </xf>
    <xf numFmtId="0" fontId="9" fillId="0" borderId="2" applyAlignment="1" pivotButton="0" quotePrefix="0" xfId="0">
      <alignment vertical="top" wrapText="1"/>
    </xf>
    <xf numFmtId="0" fontId="10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top"/>
    </xf>
    <xf numFmtId="0" fontId="10" fillId="0" borderId="2" applyAlignment="1" pivotButton="0" quotePrefix="0" xfId="2">
      <alignment horizontal="left" vertical="top" wrapText="1"/>
    </xf>
    <xf numFmtId="0" fontId="0" fillId="5" borderId="2" applyAlignment="1" pivotButton="0" quotePrefix="0" xfId="1">
      <alignment vertical="top"/>
    </xf>
    <xf numFmtId="0" fontId="9" fillId="0" borderId="2" applyAlignment="1" pivotButton="0" quotePrefix="1" xfId="1">
      <alignment vertical="top" wrapText="1"/>
    </xf>
    <xf numFmtId="0" fontId="10" fillId="0" borderId="2" applyAlignment="1" pivotButton="0" quotePrefix="0" xfId="0">
      <alignment horizontal="left" vertical="top" wrapText="1"/>
    </xf>
    <xf numFmtId="0" fontId="0" fillId="5" borderId="2" applyAlignment="1" pivotButton="0" quotePrefix="0" xfId="0">
      <alignment vertical="top"/>
    </xf>
  </cellXfs>
  <cellStyles count="4">
    <cellStyle name="Normal" xfId="0" builtinId="0"/>
    <cellStyle name="Normal 2" xfId="1"/>
    <cellStyle name="Normal 3" xfId="2"/>
    <cellStyle name="Normal 4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KienNT</author>
  </authors>
  <commentList>
    <comment ref="G4" authorId="0" shapeId="0">
      <text>
        <t>KienNT:
The name of section in the SRS (software requirement specification) document</t>
      </text>
    </comment>
    <comment ref="H4" authorId="0" shapeId="0">
      <text>
        <t>KienNT:
The name of section in the SDS (software design specification) document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Right="0"/>
    <pageSetUpPr/>
  </sheetPr>
  <dimension ref="A1:M35"/>
  <sheetViews>
    <sheetView zoomScale="106" zoomScaleNormal="106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5" sqref="A5"/>
    </sheetView>
  </sheetViews>
  <sheetFormatPr baseColWidth="8" defaultColWidth="10.703125" defaultRowHeight="12.7"/>
  <cols>
    <col width="3.29296875" customWidth="1" style="1" min="1" max="1"/>
    <col width="34.3515625" bestFit="1" customWidth="1" style="2" min="2" max="2"/>
    <col width="28" customWidth="1" style="2" min="3" max="3"/>
    <col outlineLevel="1" width="38.41015625" customWidth="1" style="2" min="4" max="4"/>
    <col width="10" customWidth="1" style="10" min="5" max="8"/>
    <col outlineLevel="1" width="10" customWidth="1" style="10" min="9" max="9"/>
    <col width="10" customWidth="1" style="10" min="10" max="10"/>
    <col outlineLevel="1" width="23.29296875" customWidth="1" style="2" min="11" max="11"/>
    <col outlineLevel="1" width="10.703125" customWidth="1" style="2" min="12" max="13"/>
    <col width="10.703125" customWidth="1" style="2" min="14" max="15"/>
    <col width="10.703125" customWidth="1" style="2" min="16" max="16384"/>
  </cols>
  <sheetData>
    <row r="1" ht="17.45" customHeight="1">
      <c r="A1" s="7" t="inlineStr">
        <is>
          <t>LOC Evaluation for AutoWash Pro</t>
        </is>
      </c>
    </row>
    <row r="2">
      <c r="A2" s="6" t="n"/>
      <c r="C2" s="14" t="n"/>
    </row>
    <row r="3">
      <c r="A3" s="6" t="n"/>
    </row>
    <row r="4">
      <c r="A4" s="4" t="inlineStr">
        <is>
          <t>#</t>
        </is>
      </c>
      <c r="B4" s="3" t="inlineStr">
        <is>
          <t>Screen / Function</t>
        </is>
      </c>
      <c r="C4" s="3" t="inlineStr">
        <is>
          <t>Feature</t>
        </is>
      </c>
      <c r="D4" s="3" t="inlineStr">
        <is>
          <t>Screen/Function Description</t>
        </is>
      </c>
      <c r="E4" s="11" t="inlineStr">
        <is>
          <t>In Charge</t>
        </is>
      </c>
      <c r="F4" s="11" t="inlineStr">
        <is>
          <t>Status</t>
        </is>
      </c>
      <c r="G4" s="12" t="inlineStr">
        <is>
          <t>SRS</t>
        </is>
      </c>
      <c r="H4" s="12" t="inlineStr">
        <is>
          <t>SDS</t>
        </is>
      </c>
      <c r="I4" s="11" t="inlineStr">
        <is>
          <t>Notes</t>
        </is>
      </c>
      <c r="J4" s="13" t="inlineStr">
        <is>
          <t>LOC</t>
        </is>
      </c>
      <c r="K4" s="8" t="inlineStr">
        <is>
          <t>Code Demo Comments</t>
        </is>
      </c>
      <c r="L4" s="8" t="inlineStr">
        <is>
          <t>Complexity</t>
        </is>
      </c>
      <c r="M4" s="8" t="inlineStr">
        <is>
          <t>Quality</t>
        </is>
      </c>
    </row>
    <row r="5" ht="26.45" customHeight="1">
      <c r="A5" s="15">
        <f>ROW()-4</f>
        <v/>
      </c>
      <c r="B5" s="16" t="inlineStr">
        <is>
          <t>Landing</t>
        </is>
      </c>
      <c r="C5" s="16" t="inlineStr">
        <is>
          <t>Review</t>
        </is>
      </c>
      <c r="D5" s="17" t="inlineStr">
        <is>
          <t>Hero marketing page, live 3D wash pipeline simulator, pricing calculator, loyalty perks showcase, customer reviews.</t>
        </is>
      </c>
      <c r="E5" s="18" t="inlineStr">
        <is>
          <t>Ngô Đình Khoa</t>
        </is>
      </c>
      <c r="F5" s="19" t="inlineStr">
        <is>
          <t>Completed</t>
        </is>
      </c>
      <c r="G5" s="20" t="inlineStr">
        <is>
          <t>II.2</t>
        </is>
      </c>
      <c r="H5" s="20" t="inlineStr">
        <is>
          <t>III.2</t>
        </is>
      </c>
      <c r="I5" s="19" t="n"/>
      <c r="J5" s="21">
        <f>IF(L5="Simple",60,IF(L5="Medium",120,240))*IF(M5="Low",50%,IF(M5="Medium",75%,100%))</f>
        <v/>
      </c>
      <c r="K5" s="22" t="n"/>
      <c r="L5" s="22" t="inlineStr">
        <is>
          <t>Simple</t>
        </is>
      </c>
      <c r="M5" s="22" t="inlineStr">
        <is>
          <t>High</t>
        </is>
      </c>
    </row>
    <row r="6" ht="26.45" customHeight="1">
      <c r="A6" s="15">
        <f>ROW()-4</f>
        <v/>
      </c>
      <c r="B6" s="16" t="inlineStr">
        <is>
          <t>Login &amp; Password</t>
        </is>
      </c>
      <c r="C6" s="16" t="inlineStr">
        <is>
          <t>Auth</t>
        </is>
      </c>
      <c r="D6" s="17" t="inlineStr">
        <is>
          <t>User login with email/password and session cookie management.</t>
        </is>
      </c>
      <c r="E6" s="18" t="inlineStr">
        <is>
          <t>Trịnh Phú Quốc</t>
        </is>
      </c>
      <c r="F6" s="19" t="inlineStr">
        <is>
          <t>Completed</t>
        </is>
      </c>
      <c r="G6" s="20" t="inlineStr">
        <is>
          <t>II.3</t>
        </is>
      </c>
      <c r="H6" s="20" t="inlineStr">
        <is>
          <t>III.3</t>
        </is>
      </c>
      <c r="I6" s="19" t="n"/>
      <c r="J6" s="21">
        <f>IF(L6="Simple",60,IF(L6="Medium",120,240))*IF(M6="Low",50%,IF(M6="Medium",75%,100%))</f>
        <v/>
      </c>
      <c r="K6" s="22" t="n"/>
      <c r="L6" s="22" t="inlineStr">
        <is>
          <t>Medium</t>
        </is>
      </c>
      <c r="M6" s="22" t="inlineStr">
        <is>
          <t>High</t>
        </is>
      </c>
    </row>
    <row r="7" ht="26.45" customHeight="1">
      <c r="A7" s="15">
        <f>ROW()-4</f>
        <v/>
      </c>
      <c r="B7" s="16" t="inlineStr">
        <is>
          <t>Email OTP Registration</t>
        </is>
      </c>
      <c r="C7" s="16" t="inlineStr">
        <is>
          <t>Auth</t>
        </is>
      </c>
      <c r="D7" s="17" t="inlineStr">
        <is>
          <t>Registration flow with email OTP dispatch, verification, and expiration check.</t>
        </is>
      </c>
      <c r="E7" s="18" t="inlineStr">
        <is>
          <t>Trịnh Phú Quốc</t>
        </is>
      </c>
      <c r="F7" s="19" t="inlineStr">
        <is>
          <t>Completed</t>
        </is>
      </c>
      <c r="G7" s="20" t="inlineStr">
        <is>
          <t>II.4</t>
        </is>
      </c>
      <c r="H7" s="20" t="inlineStr">
        <is>
          <t>III.4</t>
        </is>
      </c>
      <c r="I7" s="19" t="n"/>
      <c r="J7" s="21">
        <f>IF(L7="Simple",60,IF(L7="Medium",120,240))*IF(M7="Low",50%,IF(M7="Medium",75%,100%))</f>
        <v/>
      </c>
      <c r="K7" s="22" t="n"/>
      <c r="L7" s="22" t="inlineStr">
        <is>
          <t>Medium</t>
        </is>
      </c>
      <c r="M7" s="22" t="inlineStr">
        <is>
          <t>High</t>
        </is>
      </c>
    </row>
    <row r="8" ht="38.25" customHeight="1">
      <c r="A8" s="23">
        <f>ROW()-4</f>
        <v/>
      </c>
      <c r="B8" s="24" t="inlineStr">
        <is>
          <t>Google OAuth Authentication</t>
        </is>
      </c>
      <c r="C8" s="24" t="inlineStr">
        <is>
          <t>Auth</t>
        </is>
      </c>
      <c r="D8" s="25" t="inlineStr">
        <is>
          <t>Sign in and profile completion via Google OAuth 2.0 ID token.</t>
        </is>
      </c>
      <c r="E8" s="26" t="inlineStr">
        <is>
          <t>Trịnh Phú Quốc</t>
        </is>
      </c>
      <c r="F8" s="27" t="inlineStr">
        <is>
          <t>Completed</t>
        </is>
      </c>
      <c r="G8" s="20" t="inlineStr">
        <is>
          <t>II.5</t>
        </is>
      </c>
      <c r="H8" s="20" t="inlineStr">
        <is>
          <t>III.5</t>
        </is>
      </c>
      <c r="I8" s="27" t="n"/>
      <c r="J8" s="28">
        <f>IF(L8="Simple",60,IF(L8="Medium",120,240))*IF(M8="Low",50%,IF(M8="Medium",75%,100%))</f>
        <v/>
      </c>
      <c r="K8" s="29" t="n"/>
      <c r="L8" s="29" t="inlineStr">
        <is>
          <t>Medium</t>
        </is>
      </c>
      <c r="M8" s="29" t="inlineStr">
        <is>
          <t>High</t>
        </is>
      </c>
    </row>
    <row r="9" ht="38.25" customHeight="1">
      <c r="A9" s="23">
        <f>ROW()-4</f>
        <v/>
      </c>
      <c r="B9" s="24" t="inlineStr">
        <is>
          <t>Customer Dashboard</t>
        </is>
      </c>
      <c r="C9" s="24" t="inlineStr">
        <is>
          <t>Notification</t>
        </is>
      </c>
      <c r="D9" s="25" t="inlineStr">
        <is>
          <t>Customer hub showing greeting, active wash stage progress bar, quick booking CTA, loyalty tier card, recent notifications.</t>
        </is>
      </c>
      <c r="E9" s="26" t="inlineStr">
        <is>
          <t>Ngô Đình Khoa</t>
        </is>
      </c>
      <c r="F9" s="27" t="inlineStr">
        <is>
          <t>Completed</t>
        </is>
      </c>
      <c r="G9" s="20" t="inlineStr">
        <is>
          <t>II.1</t>
        </is>
      </c>
      <c r="H9" s="20" t="inlineStr">
        <is>
          <t>III.1</t>
        </is>
      </c>
      <c r="I9" s="27" t="n"/>
      <c r="J9" s="28">
        <f>IF(L9="Simple",60,IF(L9="Medium",120,240))*IF(M9="Low",50%,IF(M9="Medium",75%,100%))</f>
        <v/>
      </c>
      <c r="K9" s="29" t="n"/>
      <c r="L9" s="29" t="inlineStr">
        <is>
          <t>Medium</t>
        </is>
      </c>
      <c r="M9" s="29" t="inlineStr">
        <is>
          <t>High</t>
        </is>
      </c>
    </row>
    <row r="10" ht="38.25" customHeight="1">
      <c r="A10" s="23">
        <f>ROW()-4</f>
        <v/>
      </c>
      <c r="B10" s="24" t="inlineStr">
        <is>
          <t>Customer Booking Wizard</t>
        </is>
      </c>
      <c r="C10" s="24" t="inlineStr">
        <is>
          <t>Booking</t>
        </is>
      </c>
      <c r="D10" s="25" t="inlineStr">
        <is>
          <t>4-step wizard: 1. Select Vehicle, 2. Select Main Service &amp; Add-ons, 3. Choose Date &amp; Time Slot, 4. Apply Voucher &amp; Confirm.</t>
        </is>
      </c>
      <c r="E10" s="26" t="inlineStr">
        <is>
          <t>Trịnh Phú Quốc</t>
        </is>
      </c>
      <c r="F10" s="27" t="inlineStr">
        <is>
          <t>Completed</t>
        </is>
      </c>
      <c r="G10" s="20" t="inlineStr">
        <is>
          <t>II.2</t>
        </is>
      </c>
      <c r="H10" s="20" t="inlineStr">
        <is>
          <t>III.2</t>
        </is>
      </c>
      <c r="I10" s="27" t="n"/>
      <c r="J10" s="28">
        <f>IF(L10="Simple",60,IF(L10="Medium",120,240))*IF(M10="Low",50%,IF(M10="Medium",75%,100%))</f>
        <v/>
      </c>
      <c r="K10" s="29" t="n"/>
      <c r="L10" s="29" t="inlineStr">
        <is>
          <t>Complex</t>
        </is>
      </c>
      <c r="M10" s="29" t="inlineStr">
        <is>
          <t>High</t>
        </is>
      </c>
    </row>
    <row r="11" ht="51" customHeight="1">
      <c r="A11" s="23">
        <f>ROW()-4</f>
        <v/>
      </c>
      <c r="B11" s="24" t="inlineStr">
        <is>
          <t>Customer Bookings Manager</t>
        </is>
      </c>
      <c r="C11" s="24" t="inlineStr">
        <is>
          <t>Booking</t>
        </is>
      </c>
      <c r="D11" s="25" t="inlineStr">
        <is>
          <t>List of active and upcoming bookings with status badges, countdown timer to check-in window, and cancel option.</t>
        </is>
      </c>
      <c r="E11" s="26" t="inlineStr">
        <is>
          <t>Trần Đăng Khoa</t>
        </is>
      </c>
      <c r="F11" s="27" t="inlineStr">
        <is>
          <t>Completed</t>
        </is>
      </c>
      <c r="G11" s="20" t="inlineStr">
        <is>
          <t>II.3</t>
        </is>
      </c>
      <c r="H11" s="20" t="inlineStr">
        <is>
          <t>III.3</t>
        </is>
      </c>
      <c r="I11" s="27" t="n"/>
      <c r="J11" s="28">
        <f>IF(L11="Simple",60,IF(L11="Medium",120,240))*IF(M11="Low",50%,IF(M11="Medium",75%,100%))</f>
        <v/>
      </c>
      <c r="K11" s="29" t="n"/>
      <c r="L11" s="29" t="inlineStr">
        <is>
          <t>Complex</t>
        </is>
      </c>
      <c r="M11" s="29" t="inlineStr">
        <is>
          <t>High</t>
        </is>
      </c>
    </row>
    <row r="12" ht="25.5" customHeight="1">
      <c r="A12" s="23">
        <f>ROW()-4</f>
        <v/>
      </c>
      <c r="B12" s="24" t="inlineStr">
        <is>
          <t>Customer Booking History &amp; Review</t>
        </is>
      </c>
      <c r="C12" s="24" t="inlineStr">
        <is>
          <t>Review</t>
        </is>
      </c>
      <c r="D12" s="25" t="inlineStr">
        <is>
          <t>Historical log of completed washes with service details, invoice summary, download receipt, and review rating form.</t>
        </is>
      </c>
      <c r="E12" s="26" t="inlineStr">
        <is>
          <t>Nguyễn Lê Thuận</t>
        </is>
      </c>
      <c r="F12" s="27" t="inlineStr">
        <is>
          <t>Completed</t>
        </is>
      </c>
      <c r="G12" s="20" t="inlineStr">
        <is>
          <t>II.4</t>
        </is>
      </c>
      <c r="H12" s="20" t="inlineStr">
        <is>
          <t>III.4</t>
        </is>
      </c>
      <c r="I12" s="27" t="n"/>
      <c r="J12" s="28">
        <f>IF(L12="Simple",60,IF(L12="Medium",120,240))*IF(M12="Low",50%,IF(M12="Medium",75%,100%))</f>
        <v/>
      </c>
      <c r="K12" s="29" t="n"/>
      <c r="L12" s="29" t="inlineStr">
        <is>
          <t>Simple</t>
        </is>
      </c>
      <c r="M12" s="29" t="inlineStr">
        <is>
          <t>High</t>
        </is>
      </c>
    </row>
    <row r="13" ht="51" customHeight="1">
      <c r="A13" s="23">
        <f>ROW()-4</f>
        <v/>
      </c>
      <c r="B13" s="24" t="inlineStr">
        <is>
          <t>Customer Loyalty Tier Status</t>
        </is>
      </c>
      <c r="C13" s="24" t="inlineStr">
        <is>
          <t>Loyalty</t>
        </is>
      </c>
      <c r="D13" s="25" t="inlineStr">
        <is>
          <t>VIP Tier status display (Member/Silver/Gold/Platinum), point progress bar, point audit history, and tier benefits showcase.</t>
        </is>
      </c>
      <c r="E13" s="26" t="inlineStr">
        <is>
          <t>Trịnh Phú Quốc</t>
        </is>
      </c>
      <c r="F13" s="27" t="inlineStr">
        <is>
          <t>Completed</t>
        </is>
      </c>
      <c r="G13" s="20" t="inlineStr">
        <is>
          <t>II.5</t>
        </is>
      </c>
      <c r="H13" s="20" t="inlineStr">
        <is>
          <t>III.5</t>
        </is>
      </c>
      <c r="I13" s="27" t="n"/>
      <c r="J13" s="28">
        <f>IF(L13="Simple",60,IF(L13="Medium",120,240))*IF(M13="Low",50%,IF(M13="Medium",75%,100%))</f>
        <v/>
      </c>
      <c r="K13" s="29" t="n"/>
      <c r="L13" s="29" t="inlineStr">
        <is>
          <t>Complex</t>
        </is>
      </c>
      <c r="M13" s="29" t="inlineStr">
        <is>
          <t>High</t>
        </is>
      </c>
    </row>
    <row r="14" ht="51" customHeight="1">
      <c r="A14" s="23">
        <f>ROW()-4</f>
        <v/>
      </c>
      <c r="B14" s="24" t="inlineStr">
        <is>
          <t>Customer Reward Redemption</t>
        </is>
      </c>
      <c r="C14" s="24" t="inlineStr">
        <is>
          <t>Reward</t>
        </is>
      </c>
      <c r="D14" s="25" t="inlineStr">
        <is>
          <t>Exchange loyalty points for reward vouchers and generate unique voucher codes for checkout.</t>
        </is>
      </c>
      <c r="E14" s="26" t="inlineStr">
        <is>
          <t>Trịnh Phú Quốc</t>
        </is>
      </c>
      <c r="F14" s="27" t="inlineStr">
        <is>
          <t>Completed</t>
        </is>
      </c>
      <c r="G14" s="20" t="inlineStr">
        <is>
          <t>II.1</t>
        </is>
      </c>
      <c r="H14" s="20" t="inlineStr">
        <is>
          <t>III.1</t>
        </is>
      </c>
      <c r="I14" s="27" t="n"/>
      <c r="J14" s="28">
        <f>IF(L14="Simple",60,IF(L14="Medium",120,240))*IF(M14="Low",50%,IF(M14="Medium",75%,100%))</f>
        <v/>
      </c>
      <c r="K14" s="29" t="n"/>
      <c r="L14" s="29" t="inlineStr">
        <is>
          <t>Medium</t>
        </is>
      </c>
      <c r="M14" s="29" t="inlineStr">
        <is>
          <t>High</t>
        </is>
      </c>
    </row>
    <row r="15" ht="51" customHeight="1">
      <c r="A15" s="23">
        <f>ROW()-4</f>
        <v/>
      </c>
      <c r="B15" s="24" t="inlineStr">
        <is>
          <t>Customer Profile Management</t>
        </is>
      </c>
      <c r="C15" s="24" t="inlineStr">
        <is>
          <t>Auth</t>
        </is>
      </c>
      <c r="D15" s="25" t="inlineStr">
        <is>
          <t>Manage personal profile details (Full Name, Phone, Email) and change password.</t>
        </is>
      </c>
      <c r="E15" s="26" t="inlineStr">
        <is>
          <t>Trịnh Phú Quốc</t>
        </is>
      </c>
      <c r="F15" s="27" t="inlineStr">
        <is>
          <t>Completed</t>
        </is>
      </c>
      <c r="G15" s="20" t="inlineStr">
        <is>
          <t>II.2</t>
        </is>
      </c>
      <c r="H15" s="20" t="inlineStr">
        <is>
          <t>III.2</t>
        </is>
      </c>
      <c r="I15" s="27" t="n"/>
      <c r="J15" s="28">
        <f>IF(L15="Simple",60,IF(L15="Medium",120,240))*IF(M15="Low",50%,IF(M15="Medium",75%,100%))</f>
        <v/>
      </c>
      <c r="K15" s="29" t="n"/>
      <c r="L15" s="29" t="inlineStr">
        <is>
          <t>Medium</t>
        </is>
      </c>
      <c r="M15" s="29" t="inlineStr">
        <is>
          <t>High</t>
        </is>
      </c>
    </row>
    <row r="16" ht="51" customHeight="1">
      <c r="A16" s="23">
        <f>ROW()-4</f>
        <v/>
      </c>
      <c r="B16" s="24" t="inlineStr">
        <is>
          <t>Customer Vehicles Garage</t>
        </is>
      </c>
      <c r="C16" s="24" t="inlineStr">
        <is>
          <t>Vehicle</t>
        </is>
      </c>
      <c r="D16" s="25" t="inlineStr">
        <is>
          <t>Garage tab to register and delete customer vehicles with Vietnamese license plate normalization regex.</t>
        </is>
      </c>
      <c r="E16" s="26" t="inlineStr">
        <is>
          <t>Trịnh Phú Quốc</t>
        </is>
      </c>
      <c r="F16" s="27" t="inlineStr">
        <is>
          <t>Completed</t>
        </is>
      </c>
      <c r="G16" s="20" t="inlineStr">
        <is>
          <t>II.3</t>
        </is>
      </c>
      <c r="H16" s="20" t="inlineStr">
        <is>
          <t>III.3</t>
        </is>
      </c>
      <c r="I16" s="27" t="n"/>
      <c r="J16" s="28">
        <f>IF(L16="Simple",60,IF(L16="Medium",120,240))*IF(M16="Low",50%,IF(M16="Medium",75%,100%))</f>
        <v/>
      </c>
      <c r="K16" s="29" t="n"/>
      <c r="L16" s="29" t="inlineStr">
        <is>
          <t>Simple</t>
        </is>
      </c>
      <c r="M16" s="29" t="inlineStr">
        <is>
          <t>High</t>
        </is>
      </c>
    </row>
    <row r="17" ht="38.25" customHeight="1">
      <c r="A17" s="23">
        <f>ROW()-4</f>
        <v/>
      </c>
      <c r="B17" s="24" t="inlineStr">
        <is>
          <t>Customer Ownership Transfer Submission</t>
        </is>
      </c>
      <c r="C17" s="24" t="inlineStr">
        <is>
          <t>Transfer</t>
        </is>
      </c>
      <c r="D17" s="25" t="inlineStr">
        <is>
          <t>Ownership Transfer tab to check plate, submit transfer request with document attachments (PDF/JPG/PNG max 10MB), and track status.</t>
        </is>
      </c>
      <c r="E17" s="26" t="inlineStr">
        <is>
          <t>Trịnh Phú Quốc</t>
        </is>
      </c>
      <c r="F17" s="27" t="inlineStr">
        <is>
          <t>Completed</t>
        </is>
      </c>
      <c r="G17" s="20" t="inlineStr">
        <is>
          <t>II.4</t>
        </is>
      </c>
      <c r="H17" s="20" t="inlineStr">
        <is>
          <t>III.4</t>
        </is>
      </c>
      <c r="I17" s="27" t="n"/>
      <c r="J17" s="28">
        <f>IF(L17="Simple",60,IF(L17="Medium",120,240))*IF(M17="Low",50%,IF(M17="Medium",75%,100%))</f>
        <v/>
      </c>
      <c r="K17" s="29" t="n"/>
      <c r="L17" s="29" t="inlineStr">
        <is>
          <t>Complex</t>
        </is>
      </c>
      <c r="M17" s="29" t="inlineStr">
        <is>
          <t>High</t>
        </is>
      </c>
    </row>
    <row r="18" ht="38.25" customHeight="1">
      <c r="A18" s="23">
        <f>ROW()-4</f>
        <v/>
      </c>
      <c r="B18" s="24" t="inlineStr">
        <is>
          <t>Admin Dashboard Analytics</t>
        </is>
      </c>
      <c r="C18" s="24" t="inlineStr">
        <is>
          <t>Dashboard</t>
        </is>
      </c>
      <c r="D18" s="25" t="inlineStr">
        <is>
          <t>Executive dashboard showing Revenue chart (Day/Week/Month), total bookings, queue bottleneck indicators, customer tier distribution.</t>
        </is>
      </c>
      <c r="E18" s="26" t="inlineStr">
        <is>
          <t>Trịnh Phú Quốc</t>
        </is>
      </c>
      <c r="F18" s="27" t="inlineStr">
        <is>
          <t>Completed</t>
        </is>
      </c>
      <c r="G18" s="20" t="inlineStr">
        <is>
          <t>II.5</t>
        </is>
      </c>
      <c r="H18" s="20" t="inlineStr">
        <is>
          <t>III.5</t>
        </is>
      </c>
      <c r="I18" s="27" t="n"/>
      <c r="J18" s="28">
        <f>IF(L18="Simple",60,IF(L18="Medium",120,240))*IF(M18="Low",50%,IF(M18="Medium",75%,100%))</f>
        <v/>
      </c>
      <c r="K18" s="29" t="n"/>
      <c r="L18" s="29" t="inlineStr">
        <is>
          <t>Medium</t>
        </is>
      </c>
      <c r="M18" s="29" t="inlineStr">
        <is>
          <t>High</t>
        </is>
      </c>
    </row>
    <row r="19" ht="38.25" customHeight="1">
      <c r="A19" s="23">
        <f>ROW()-4</f>
        <v/>
      </c>
      <c r="B19" s="24" t="inlineStr">
        <is>
          <t>Admin Operational Queue Monitor</t>
        </is>
      </c>
      <c r="C19" s="24" t="inlineStr">
        <is>
          <t>Queue</t>
        </is>
      </c>
      <c r="D19" s="25" t="inlineStr">
        <is>
          <t>Real-time wash bay queue board with SignalR live updates, stage timers (Waiting, Washing, Drying), webcam completion photo capture, and checkout.</t>
        </is>
      </c>
      <c r="E19" s="26" t="inlineStr">
        <is>
          <t>Ngô Đình Khoa</t>
        </is>
      </c>
      <c r="F19" s="27" t="inlineStr">
        <is>
          <t>Completed</t>
        </is>
      </c>
      <c r="G19" s="20" t="inlineStr">
        <is>
          <t>II.1</t>
        </is>
      </c>
      <c r="H19" s="20" t="inlineStr">
        <is>
          <t>III.1</t>
        </is>
      </c>
      <c r="I19" s="27" t="n"/>
      <c r="J19" s="28">
        <f>IF(L19="Simple",60,IF(L19="Medium",120,240))*IF(M19="Low",50%,IF(M19="Medium",75%,100%))</f>
        <v/>
      </c>
      <c r="K19" s="29" t="n"/>
      <c r="L19" s="29" t="inlineStr">
        <is>
          <t>Complex</t>
        </is>
      </c>
      <c r="M19" s="29" t="inlineStr">
        <is>
          <t>High</t>
        </is>
      </c>
    </row>
    <row r="20" ht="38.25" customHeight="1">
      <c r="A20" s="23">
        <f>ROW()-4</f>
        <v/>
      </c>
      <c r="B20" s="24" t="inlineStr">
        <is>
          <t>Admin Booking Management</t>
        </is>
      </c>
      <c r="C20" s="24" t="inlineStr">
        <is>
          <t>Booking</t>
        </is>
      </c>
      <c r="D20" s="25" t="inlineStr">
        <is>
          <t>Full calendar and table of system bookings with date/status filters, staff check-in, manual reschedule, and cancellation.</t>
        </is>
      </c>
      <c r="E20" s="26" t="inlineStr">
        <is>
          <t>Trần Đăng Khoa</t>
        </is>
      </c>
      <c r="F20" s="27" t="inlineStr">
        <is>
          <t>Completed</t>
        </is>
      </c>
      <c r="G20" s="20" t="inlineStr">
        <is>
          <t>II.2</t>
        </is>
      </c>
      <c r="H20" s="20" t="inlineStr">
        <is>
          <t>III.2</t>
        </is>
      </c>
      <c r="I20" s="27" t="n"/>
      <c r="J20" s="28">
        <f>IF(L20="Simple",60,IF(L20="Medium",120,240))*IF(M20="Low",50%,IF(M20="Medium",75%,100%))</f>
        <v/>
      </c>
      <c r="K20" s="29" t="n"/>
      <c r="L20" s="29" t="inlineStr">
        <is>
          <t>Complex</t>
        </is>
      </c>
      <c r="M20" s="29" t="inlineStr">
        <is>
          <t>High</t>
        </is>
      </c>
    </row>
    <row r="21" ht="38.25" customHeight="1">
      <c r="A21" s="23">
        <f>ROW()-4</f>
        <v/>
      </c>
      <c r="B21" s="24" t="inlineStr">
        <is>
          <t>Admin Customer Accounts</t>
        </is>
      </c>
      <c r="C21" s="24" t="inlineStr">
        <is>
          <t>Loyalty</t>
        </is>
      </c>
      <c r="D21" s="25" t="inlineStr">
        <is>
          <t>List of registered customer accounts, total spent, current tier, and manual point adjustment modal.</t>
        </is>
      </c>
      <c r="E21" s="26" t="inlineStr">
        <is>
          <t>Ngô Đình Khoa</t>
        </is>
      </c>
      <c r="F21" s="27" t="inlineStr">
        <is>
          <t>Completed</t>
        </is>
      </c>
      <c r="G21" s="20" t="inlineStr">
        <is>
          <t>II.3</t>
        </is>
      </c>
      <c r="H21" s="20" t="inlineStr">
        <is>
          <t>III.3</t>
        </is>
      </c>
      <c r="I21" s="27" t="n"/>
      <c r="J21" s="28">
        <f>IF(L21="Simple",60,IF(L21="Medium",120,240))*IF(M21="Low",50%,IF(M21="Medium",75%,100%))</f>
        <v/>
      </c>
      <c r="K21" s="29" t="n"/>
      <c r="L21" s="29" t="inlineStr">
        <is>
          <t>Medium</t>
        </is>
      </c>
      <c r="M21" s="29" t="inlineStr">
        <is>
          <t>High</t>
        </is>
      </c>
    </row>
    <row r="22" ht="38.25" customHeight="1">
      <c r="A22" s="23">
        <f>ROW()-4</f>
        <v/>
      </c>
      <c r="B22" s="24" t="inlineStr">
        <is>
          <t>Admin Service Catalog CRUD</t>
        </is>
      </c>
      <c r="C22" s="24" t="inlineStr">
        <is>
          <t>Booking</t>
        </is>
      </c>
      <c r="D22" s="25" t="inlineStr">
        <is>
          <t>Management of wash service catalog (Main services and add-on services), pricing, duration, and active toggle.</t>
        </is>
      </c>
      <c r="E22" s="26" t="inlineStr">
        <is>
          <t>Ngô Đình Khoa</t>
        </is>
      </c>
      <c r="F22" s="27" t="inlineStr">
        <is>
          <t>Completed</t>
        </is>
      </c>
      <c r="G22" s="20" t="inlineStr">
        <is>
          <t>II.4</t>
        </is>
      </c>
      <c r="H22" s="20" t="inlineStr">
        <is>
          <t>III.4</t>
        </is>
      </c>
      <c r="I22" s="27" t="n"/>
      <c r="J22" s="28">
        <f>IF(L22="Simple",60,IF(L22="Medium",120,240))*IF(M22="Low",50%,IF(M22="Medium",75%,100%))</f>
        <v/>
      </c>
      <c r="K22" s="29" t="n"/>
      <c r="L22" s="29" t="inlineStr">
        <is>
          <t>Simple</t>
        </is>
      </c>
      <c r="M22" s="29" t="inlineStr">
        <is>
          <t>High</t>
        </is>
      </c>
    </row>
    <row r="23" ht="51" customHeight="1">
      <c r="A23" s="23">
        <f>ROW()-4</f>
        <v/>
      </c>
      <c r="B23" s="24" t="inlineStr">
        <is>
          <t>Admin Loyalty Tier Configuration</t>
        </is>
      </c>
      <c r="C23" s="24" t="inlineStr">
        <is>
          <t>Loyalty</t>
        </is>
      </c>
      <c r="D23" s="25" t="inlineStr">
        <is>
          <t>Configuration of tier point thresholds, spending multipliers, discount percentages, and manual trigger for tier review.</t>
        </is>
      </c>
      <c r="E23" s="26" t="inlineStr">
        <is>
          <t>Nguyễn Lê Thuận</t>
        </is>
      </c>
      <c r="F23" s="27" t="inlineStr">
        <is>
          <t>Completed</t>
        </is>
      </c>
      <c r="G23" s="20" t="inlineStr">
        <is>
          <t>II.5</t>
        </is>
      </c>
      <c r="H23" s="20" t="inlineStr">
        <is>
          <t>III.5</t>
        </is>
      </c>
      <c r="I23" s="27" t="n"/>
      <c r="J23" s="28">
        <f>IF(L23="Simple",60,IF(L23="Medium",120,240))*IF(M23="Low",50%,IF(M23="Medium",75%,100%))</f>
        <v/>
      </c>
      <c r="K23" s="29" t="n"/>
      <c r="L23" s="29" t="inlineStr">
        <is>
          <t>Complex</t>
        </is>
      </c>
      <c r="M23" s="29" t="inlineStr">
        <is>
          <t>High</t>
        </is>
      </c>
    </row>
    <row r="24" ht="51" customHeight="1">
      <c r="A24" s="23">
        <f>ROW()-4</f>
        <v/>
      </c>
      <c r="B24" s="24" t="inlineStr">
        <is>
          <t>Admin Reward Catalog Management</t>
        </is>
      </c>
      <c r="C24" s="24" t="inlineStr">
        <is>
          <t>Reward</t>
        </is>
      </c>
      <c r="D24" s="25" t="inlineStr">
        <is>
          <t>Catalog management for redeemable rewards and voucher creation.</t>
        </is>
      </c>
      <c r="E24" s="26" t="inlineStr">
        <is>
          <t>Trịnh Phú Quốc</t>
        </is>
      </c>
      <c r="F24" s="27" t="inlineStr">
        <is>
          <t>Completed</t>
        </is>
      </c>
      <c r="G24" s="20" t="inlineStr">
        <is>
          <t>II.1</t>
        </is>
      </c>
      <c r="H24" s="20" t="inlineStr">
        <is>
          <t>III.1</t>
        </is>
      </c>
      <c r="I24" s="27" t="n"/>
      <c r="J24" s="28">
        <f>IF(L24="Simple",60,IF(L24="Medium",120,240))*IF(M24="Low",50%,IF(M24="Medium",75%,100%))</f>
        <v/>
      </c>
      <c r="K24" s="29" t="n"/>
      <c r="L24" s="29" t="inlineStr">
        <is>
          <t>Medium</t>
        </is>
      </c>
      <c r="M24" s="29" t="inlineStr">
        <is>
          <t>High</t>
        </is>
      </c>
    </row>
    <row r="25" ht="51" customHeight="1">
      <c r="A25" s="23">
        <f>ROW()-4</f>
        <v/>
      </c>
      <c r="B25" s="24" t="inlineStr">
        <is>
          <t>Admin Voucher Assignment</t>
        </is>
      </c>
      <c r="C25" s="24" t="inlineStr">
        <is>
          <t>Reward</t>
        </is>
      </c>
      <c r="D25" s="25" t="inlineStr">
        <is>
          <t>Manual assignment of specific reward vouchers to targeted customer accounts.</t>
        </is>
      </c>
      <c r="E25" s="26" t="inlineStr">
        <is>
          <t>Trịnh Phú Quốc</t>
        </is>
      </c>
      <c r="F25" s="27" t="inlineStr">
        <is>
          <t>Completed</t>
        </is>
      </c>
      <c r="G25" s="20" t="inlineStr">
        <is>
          <t>II.2</t>
        </is>
      </c>
      <c r="H25" s="20" t="inlineStr">
        <is>
          <t>III.2</t>
        </is>
      </c>
      <c r="I25" s="27" t="n"/>
      <c r="J25" s="28">
        <f>IF(L25="Simple",60,IF(L25="Medium",120,240))*IF(M25="Low",50%,IF(M25="Medium",75%,100%))</f>
        <v/>
      </c>
      <c r="K25" s="29" t="n"/>
      <c r="L25" s="29" t="inlineStr">
        <is>
          <t>Medium</t>
        </is>
      </c>
      <c r="M25" s="29" t="inlineStr">
        <is>
          <t>High</t>
        </is>
      </c>
    </row>
    <row r="26" ht="38" customHeight="1">
      <c r="A26" s="23">
        <f>ROW()-4</f>
        <v/>
      </c>
      <c r="B26" s="24" t="inlineStr">
        <is>
          <t>Admin Transaction Audit Log</t>
        </is>
      </c>
      <c r="C26" s="24" t="inlineStr">
        <is>
          <t>Payment</t>
        </is>
      </c>
      <c r="D26" s="25" t="inlineStr">
        <is>
          <t>Audit log of all PayOS transactions across system with payment status badges (Paid, Pending, Failed, Expired) and filtering.</t>
        </is>
      </c>
      <c r="E26" s="26" t="inlineStr">
        <is>
          <t>Nguyễn Lê Thuận</t>
        </is>
      </c>
      <c r="F26" s="27" t="inlineStr">
        <is>
          <t>Completed</t>
        </is>
      </c>
      <c r="G26" s="20" t="inlineStr">
        <is>
          <t>II.3</t>
        </is>
      </c>
      <c r="H26" s="20" t="inlineStr">
        <is>
          <t>III.3</t>
        </is>
      </c>
      <c r="I26" s="27" t="n"/>
      <c r="J26" s="28">
        <f>IF(L26="Simple",60,IF(L26="Medium",120,240))*IF(M26="Low",50%,IF(M26="Medium",75%,100%))</f>
        <v/>
      </c>
      <c r="K26" s="29" t="n"/>
      <c r="L26" s="29" t="inlineStr">
        <is>
          <t>Complex</t>
        </is>
      </c>
      <c r="M26" s="29" t="inlineStr">
        <is>
          <t>High</t>
        </is>
      </c>
    </row>
    <row r="27" ht="50.7" customHeight="1">
      <c r="A27" s="23">
        <f>ROW()-4</f>
        <v/>
      </c>
      <c r="B27" s="24" t="inlineStr">
        <is>
          <t>Admin Ownership Transfer Review</t>
        </is>
      </c>
      <c r="C27" s="24" t="inlineStr">
        <is>
          <t>Transfer</t>
        </is>
      </c>
      <c r="D27" s="25" t="inlineStr">
        <is>
          <t>Review queue of vehicle ownership transfer requests with document previewer (PDF/Image viewer), approval DB transaction, and rejection with reason.</t>
        </is>
      </c>
      <c r="E27" s="26" t="inlineStr">
        <is>
          <t>Trịnh Phú Quốc</t>
        </is>
      </c>
      <c r="F27" s="27" t="inlineStr">
        <is>
          <t>Completed</t>
        </is>
      </c>
      <c r="G27" s="20" t="inlineStr">
        <is>
          <t>II.4</t>
        </is>
      </c>
      <c r="H27" s="20" t="inlineStr">
        <is>
          <t>III.4</t>
        </is>
      </c>
      <c r="I27" s="27" t="n"/>
      <c r="J27" s="28">
        <f>IF(L27="Simple",60,IF(L27="Medium",120,240))*IF(M27="Low",50%,IF(M27="Medium",75%,100%))</f>
        <v/>
      </c>
      <c r="K27" s="29" t="n"/>
      <c r="L27" s="29" t="inlineStr">
        <is>
          <t>Complex</t>
        </is>
      </c>
      <c r="M27" s="29" t="inlineStr">
        <is>
          <t>High</t>
        </is>
      </c>
    </row>
    <row r="28" ht="38" customHeight="1">
      <c r="A28" s="23">
        <f>ROW()-4</f>
        <v/>
      </c>
      <c r="B28" s="24" t="inlineStr">
        <is>
          <t>Admin Demo Tools</t>
        </is>
      </c>
      <c r="C28" s="24" t="inlineStr">
        <is>
          <t>Demo Utilities</t>
        </is>
      </c>
      <c r="D28" s="25" t="inlineStr">
        <is>
          <t>Testing tools interface for injecting test bookings, simulating queue progression, clearing queue, and testing LPR triggers.</t>
        </is>
      </c>
      <c r="E28" s="26" t="inlineStr">
        <is>
          <t>Nguyễn Hoàng Huy</t>
        </is>
      </c>
      <c r="F28" s="27" t="inlineStr">
        <is>
          <t>Completed</t>
        </is>
      </c>
      <c r="G28" s="20" t="inlineStr">
        <is>
          <t>II.5</t>
        </is>
      </c>
      <c r="H28" s="20" t="inlineStr">
        <is>
          <t>III.5</t>
        </is>
      </c>
      <c r="I28" s="27" t="n"/>
      <c r="J28" s="28">
        <f>IF(L28="Simple",60,IF(L28="Medium",120,240))*IF(M28="Low",50%,IF(M28="Medium",75%,100%))</f>
        <v/>
      </c>
      <c r="K28" s="29" t="n"/>
      <c r="L28" s="29" t="inlineStr">
        <is>
          <t>Simple</t>
        </is>
      </c>
      <c r="M28" s="29" t="inlineStr">
        <is>
          <t>High</t>
        </is>
      </c>
    </row>
    <row r="29" ht="38" customHeight="1">
      <c r="A29" s="23">
        <f>ROW()-4</f>
        <v/>
      </c>
      <c r="B29" s="24" t="inlineStr">
        <is>
          <t>Payment Checkout QR Generator</t>
        </is>
      </c>
      <c r="C29" s="24" t="inlineStr">
        <is>
          <t>Payment</t>
        </is>
      </c>
      <c r="D29" s="25" t="inlineStr">
        <is>
          <t>Dedicated checkout screen displaying PayOS QR code (QRCodeSVG), bank transfer details, and 15-minute live polling countdown timer.</t>
        </is>
      </c>
      <c r="E29" s="26" t="inlineStr">
        <is>
          <t>Nguyễn Lê Thuận</t>
        </is>
      </c>
      <c r="F29" s="27" t="inlineStr">
        <is>
          <t>Completed</t>
        </is>
      </c>
      <c r="G29" s="20" t="inlineStr">
        <is>
          <t>II.1</t>
        </is>
      </c>
      <c r="H29" s="20" t="inlineStr">
        <is>
          <t>III.1</t>
        </is>
      </c>
      <c r="I29" s="27" t="n"/>
      <c r="J29" s="28">
        <f>IF(L29="Simple",60,IF(L29="Medium",120,240))*IF(M29="Low",50%,IF(M29="Medium",75%,100%))</f>
        <v/>
      </c>
      <c r="K29" s="29" t="n"/>
      <c r="L29" s="29" t="inlineStr">
        <is>
          <t>Complex</t>
        </is>
      </c>
      <c r="M29" s="29" t="inlineStr">
        <is>
          <t>High</t>
        </is>
      </c>
    </row>
    <row r="30" ht="38" customHeight="1">
      <c r="A30" s="23">
        <f>ROW()-4</f>
        <v/>
      </c>
      <c r="B30" s="24" t="inlineStr">
        <is>
          <t>Payment Result Status Polling</t>
        </is>
      </c>
      <c r="C30" s="24" t="inlineStr">
        <is>
          <t>Payment</t>
        </is>
      </c>
      <c r="D30" s="25" t="inlineStr">
        <is>
          <t>PayOS payment return landing page with automatic retry verification polling displaying Success, Cancelled, or Timeout cards.</t>
        </is>
      </c>
      <c r="E30" s="26" t="inlineStr">
        <is>
          <t>Trịnh Phú Quốc</t>
        </is>
      </c>
      <c r="F30" s="27" t="inlineStr">
        <is>
          <t>Completed</t>
        </is>
      </c>
      <c r="G30" s="20" t="inlineStr">
        <is>
          <t>II.2</t>
        </is>
      </c>
      <c r="H30" s="20" t="inlineStr">
        <is>
          <t>III.2</t>
        </is>
      </c>
      <c r="I30" s="27" t="n"/>
      <c r="J30" s="28">
        <f>IF(L30="Simple",60,IF(L30="Medium",120,240))*IF(M30="Low",50%,IF(M30="Medium",75%,100%))</f>
        <v/>
      </c>
      <c r="K30" s="29" t="n"/>
      <c r="L30" s="29" t="inlineStr">
        <is>
          <t>Complex</t>
        </is>
      </c>
      <c r="M30" s="29" t="inlineStr">
        <is>
          <t>High</t>
        </is>
      </c>
    </row>
    <row r="31" ht="63.35" customHeight="1">
      <c r="A31" s="23">
        <f>ROW()-4</f>
        <v/>
      </c>
      <c r="B31" s="24" t="inlineStr">
        <is>
          <t>Booking Workflow Engine</t>
        </is>
      </c>
      <c r="C31" s="24" t="inlineStr">
        <is>
          <t>Queue</t>
        </is>
      </c>
      <c r="D31" s="25" t="inlineStr">
        <is>
          <t>2-second background timer loop that auto-progresses queue stages (Waiting -&gt; Washing -&gt; Drying -&gt; Completed), detects no-shows, sends booking reminders, and triggers loyalty tier updates.</t>
        </is>
      </c>
      <c r="E31" s="26" t="inlineStr">
        <is>
          <t>Trịnh Phú Quốc</t>
        </is>
      </c>
      <c r="F31" s="27" t="inlineStr">
        <is>
          <t>Completed</t>
        </is>
      </c>
      <c r="G31" s="20" t="inlineStr">
        <is>
          <t>II.3</t>
        </is>
      </c>
      <c r="H31" s="20" t="inlineStr">
        <is>
          <t>III.3</t>
        </is>
      </c>
      <c r="I31" s="27" t="n"/>
      <c r="J31" s="28">
        <f>IF(L31="Simple",60,IF(L31="Medium",120,240))*IF(M31="Low",50%,IF(M31="Medium",75%,100%))</f>
        <v/>
      </c>
      <c r="K31" s="29" t="n"/>
      <c r="L31" s="29" t="inlineStr">
        <is>
          <t>Complex</t>
        </is>
      </c>
      <c r="M31" s="29" t="inlineStr">
        <is>
          <t>High</t>
        </is>
      </c>
    </row>
    <row r="32" ht="38" customHeight="1">
      <c r="A32" s="23">
        <f>ROW()-4</f>
        <v/>
      </c>
      <c r="B32" s="24" t="inlineStr">
        <is>
          <t>Payment Expiry Service</t>
        </is>
      </c>
      <c r="C32" s="24" t="inlineStr">
        <is>
          <t>Payment</t>
        </is>
      </c>
      <c r="D32" s="25" t="inlineStr">
        <is>
          <t>60-second background timer loop sweeping pending PayOS payments older than 15 minutes to mark as expired.</t>
        </is>
      </c>
      <c r="E32" s="26" t="inlineStr">
        <is>
          <t>Nguyễn Lê Thuận</t>
        </is>
      </c>
      <c r="F32" s="27" t="inlineStr">
        <is>
          <t>Completed</t>
        </is>
      </c>
      <c r="G32" s="20" t="inlineStr">
        <is>
          <t>II.4</t>
        </is>
      </c>
      <c r="H32" s="20" t="inlineStr">
        <is>
          <t>III.4</t>
        </is>
      </c>
      <c r="I32" s="27" t="n"/>
      <c r="J32" s="28">
        <f>IF(L32="Simple",60,IF(L32="Medium",120,240))*IF(M32="Low",50%,IF(M32="Medium",75%,100%))</f>
        <v/>
      </c>
      <c r="K32" s="29" t="n"/>
      <c r="L32" s="29" t="inlineStr">
        <is>
          <t>Medium</t>
        </is>
      </c>
      <c r="M32" s="29" t="inlineStr">
        <is>
          <t>High</t>
        </is>
      </c>
    </row>
    <row r="33" ht="50.7" customHeight="1">
      <c r="A33" s="23">
        <f>ROW()-4</f>
        <v/>
      </c>
      <c r="B33" s="24" t="inlineStr">
        <is>
          <t>SignalR Realtime Notifier</t>
        </is>
      </c>
      <c r="C33" s="24" t="inlineStr">
        <is>
          <t>Queue</t>
        </is>
      </c>
      <c r="D33" s="25" t="inlineStr">
        <is>
          <t>WebSocket hub (BookingHub) emitting real-time event updates (BookingCreated, WashCompleted) to staff and customer dashboards.</t>
        </is>
      </c>
      <c r="E33" s="26" t="inlineStr">
        <is>
          <t>Nguyễn Lê Thuận</t>
        </is>
      </c>
      <c r="F33" s="27" t="inlineStr">
        <is>
          <t>Completed</t>
        </is>
      </c>
      <c r="G33" s="20" t="inlineStr">
        <is>
          <t>II.5</t>
        </is>
      </c>
      <c r="H33" s="20" t="inlineStr">
        <is>
          <t>III.5</t>
        </is>
      </c>
      <c r="I33" s="27" t="n"/>
      <c r="J33" s="28">
        <f>IF(L33="Simple",60,IF(L33="Medium",120,240))*IF(M33="Low",50%,IF(M33="Medium",75%,100%))</f>
        <v/>
      </c>
      <c r="K33" s="29" t="n"/>
      <c r="L33" s="29" t="inlineStr">
        <is>
          <t>Medium</t>
        </is>
      </c>
      <c r="M33" s="29" t="inlineStr">
        <is>
          <t>High</t>
        </is>
      </c>
    </row>
    <row r="34" ht="50.7" customHeight="1">
      <c r="A34" s="23">
        <f>ROW()-4</f>
        <v/>
      </c>
      <c r="B34" s="24" t="inlineStr">
        <is>
          <t>PayOS Payment Gateway Integration</t>
        </is>
      </c>
      <c r="C34" s="24" t="inlineStr">
        <is>
          <t>Payment</t>
        </is>
      </c>
      <c r="D34" s="25" t="inlineStr">
        <is>
          <t>PayOS API integration generating payment QR links, validating IPN Webhook SHA256 signatures, and enforcing payment idempotency.</t>
        </is>
      </c>
      <c r="E34" s="26" t="inlineStr">
        <is>
          <t>Trịnh Phú Quốc</t>
        </is>
      </c>
      <c r="F34" s="27" t="inlineStr">
        <is>
          <t>Completed</t>
        </is>
      </c>
      <c r="G34" s="20" t="inlineStr">
        <is>
          <t>II.1</t>
        </is>
      </c>
      <c r="H34" s="20" t="inlineStr">
        <is>
          <t>III.1</t>
        </is>
      </c>
      <c r="I34" s="27" t="n"/>
      <c r="J34" s="28">
        <f>IF(L34="Simple",60,IF(L34="Medium",120,240))*IF(M34="Low",50%,IF(M34="Medium",75%,100%))</f>
        <v/>
      </c>
      <c r="K34" s="29" t="n"/>
      <c r="L34" s="29" t="inlineStr">
        <is>
          <t>Complex</t>
        </is>
      </c>
      <c r="M34" s="29" t="inlineStr">
        <is>
          <t>High</t>
        </is>
      </c>
    </row>
    <row r="35" ht="50.7" customHeight="1">
      <c r="A35" s="23">
        <f>ROW()-4</f>
        <v/>
      </c>
      <c r="B35" s="24" t="inlineStr">
        <is>
          <t>Email &amp; In-App Notification Dispatcher</t>
        </is>
      </c>
      <c r="C35" s="24" t="inlineStr">
        <is>
          <t>Notification</t>
        </is>
      </c>
      <c r="D35" s="25" t="inlineStr">
        <is>
          <t>SMTP email service dispatching HTML emails for booking confirmation, reminders, no-show alerts, payment receipts, tier updates, and transfer status.</t>
        </is>
      </c>
      <c r="E35" s="26" t="inlineStr">
        <is>
          <t>Trịnh Phú Quốc</t>
        </is>
      </c>
      <c r="F35" s="27" t="inlineStr">
        <is>
          <t>Completed</t>
        </is>
      </c>
      <c r="G35" s="20" t="inlineStr">
        <is>
          <t>II.2</t>
        </is>
      </c>
      <c r="H35" s="20" t="inlineStr">
        <is>
          <t>III.2</t>
        </is>
      </c>
      <c r="I35" s="27" t="n"/>
      <c r="J35" s="28">
        <f>IF(L35="Simple",60,IF(L35="Medium",120,240))*IF(M35="Low",50%,IF(M35="Medium",75%,100%))</f>
        <v/>
      </c>
      <c r="K35" s="29" t="n"/>
      <c r="L35" s="29" t="inlineStr">
        <is>
          <t>Medium</t>
        </is>
      </c>
      <c r="M35" s="29" t="inlineStr">
        <is>
          <t>High</t>
        </is>
      </c>
    </row>
  </sheetData>
  <dataValidations count="3">
    <dataValidation sqref="F5:F7" showDropDown="0" showInputMessage="1" showErrorMessage="1" allowBlank="1" type="list">
      <formula1>"To Do, Doing, Done"</formula1>
    </dataValidation>
    <dataValidation sqref="L5:L7" showDropDown="0" showInputMessage="1" showErrorMessage="1" allowBlank="1" type="list">
      <formula1>"Simple, Medium, Complex"</formula1>
    </dataValidation>
    <dataValidation sqref="M5:M7" showDropDown="0" showInputMessage="1" showErrorMessage="1" allowBlank="1" type="list">
      <formula1>"Low, Medium, High"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35"/>
  <sheetViews>
    <sheetView tabSelected="1" zoomScale="110" zoomScaleNormal="11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5" sqref="E5:E8"/>
    </sheetView>
  </sheetViews>
  <sheetFormatPr baseColWidth="8" defaultColWidth="10.703125" defaultRowHeight="12.7"/>
  <cols>
    <col width="4" customWidth="1" style="1" min="1" max="1"/>
    <col width="20.41015625" bestFit="1" customWidth="1" style="2" min="2" max="2"/>
    <col collapsed="1" width="13.703125" customWidth="1" style="2" min="3" max="3"/>
    <col hidden="1" outlineLevel="1" width="50.703125" customWidth="1" style="2" min="4" max="4"/>
    <col width="9" bestFit="1" customWidth="1" style="2" min="5" max="5"/>
    <col width="7.703125" bestFit="1" customWidth="1" style="2" min="6" max="6"/>
    <col width="8" customWidth="1" style="2" min="7" max="7"/>
    <col collapsed="1" width="8" customWidth="1" style="2" min="8" max="8"/>
    <col hidden="1" outlineLevel="1" width="45.41015625" customWidth="1" style="2" min="9" max="9"/>
    <col collapsed="1" width="9.1171875" customWidth="1" style="2" min="10" max="10"/>
    <col hidden="1" outlineLevel="1" width="36.703125" customWidth="1" style="2" min="11" max="11"/>
    <col hidden="1" outlineLevel="1" width="13" customWidth="1" style="2" min="12" max="13"/>
    <col width="9.1171875" bestFit="1" customWidth="1" style="2" min="14" max="14"/>
    <col width="14.29296875" customWidth="1" style="2" min="15" max="15"/>
    <col width="12.29296875" customWidth="1" style="2" min="16" max="16"/>
    <col width="10.703125" customWidth="1" style="2" min="17" max="18"/>
    <col width="10.703125" customWidth="1" style="2" min="19" max="16384"/>
  </cols>
  <sheetData>
    <row r="1" ht="17.45" customHeight="1">
      <c r="A1" s="5" t="inlineStr">
        <is>
          <t>Final LOC Evaluation</t>
        </is>
      </c>
    </row>
    <row r="2">
      <c r="A2" s="6" t="inlineStr">
        <is>
          <t>Information in the columns A-I are copied from the student's submitted tracking file, J-M are copied from the iteration LOC evaluatin</t>
        </is>
      </c>
    </row>
    <row r="3">
      <c r="A3" s="6" t="inlineStr">
        <is>
          <t>Teacher to fill the evaluations in the columns O-P, then might use Excel pivot to have total final LOC for each student</t>
        </is>
      </c>
    </row>
    <row r="4">
      <c r="A4" s="4" t="inlineStr">
        <is>
          <t>#</t>
        </is>
      </c>
      <c r="B4" s="3" t="inlineStr">
        <is>
          <t>Screen/Function</t>
        </is>
      </c>
      <c r="C4" s="3" t="inlineStr">
        <is>
          <t>Feature</t>
        </is>
      </c>
      <c r="D4" s="3" t="inlineStr">
        <is>
          <t>Screen/Function Description</t>
        </is>
      </c>
      <c r="E4" s="3" t="inlineStr">
        <is>
          <t>In Charge</t>
        </is>
      </c>
      <c r="F4" s="3" t="inlineStr">
        <is>
          <t>Status</t>
        </is>
      </c>
      <c r="G4" s="3" t="inlineStr">
        <is>
          <t>Actual</t>
        </is>
      </c>
      <c r="H4" s="3" t="inlineStr">
        <is>
          <t>Updated</t>
        </is>
      </c>
      <c r="I4" s="3" t="inlineStr">
        <is>
          <t>Update Details</t>
        </is>
      </c>
      <c r="J4" s="8" t="inlineStr">
        <is>
          <t>LOC</t>
        </is>
      </c>
      <c r="K4" s="8" t="inlineStr">
        <is>
          <t>Code Demo Comments</t>
        </is>
      </c>
      <c r="L4" s="8" t="inlineStr">
        <is>
          <t>Complexity</t>
        </is>
      </c>
      <c r="M4" s="8" t="inlineStr">
        <is>
          <t>Quality</t>
        </is>
      </c>
      <c r="N4" s="9" t="inlineStr">
        <is>
          <t>Final LOC</t>
        </is>
      </c>
      <c r="O4" s="9" t="inlineStr">
        <is>
          <t>Final Complexity</t>
        </is>
      </c>
      <c r="P4" s="9" t="inlineStr">
        <is>
          <t>Final Quality</t>
        </is>
      </c>
    </row>
    <row r="5" ht="26.45" customHeight="1">
      <c r="A5" s="15">
        <f>ROW()-4</f>
        <v/>
      </c>
      <c r="B5" s="16" t="inlineStr">
        <is>
          <t>Landing</t>
        </is>
      </c>
      <c r="C5" s="16" t="inlineStr">
        <is>
          <t>Review</t>
        </is>
      </c>
      <c r="D5" s="17" t="inlineStr">
        <is>
          <t>Hero marketing page, live 3D wash pipeline simulator, pricing calculator, loyalty perks showcase, customer reviews.</t>
        </is>
      </c>
      <c r="E5" s="30" t="inlineStr">
        <is>
          <t>Ngô Đình Khoa</t>
        </is>
      </c>
      <c r="F5" s="16" t="inlineStr">
        <is>
          <t>Completed</t>
        </is>
      </c>
      <c r="G5" s="16" t="inlineStr">
        <is>
          <t>iter2</t>
        </is>
      </c>
      <c r="H5" s="16" t="inlineStr">
        <is>
          <t>iter2</t>
        </is>
      </c>
      <c r="I5" s="16" t="n"/>
      <c r="J5" s="31">
        <f>IF(L5="Simple",60,IF(L5="Medium",120,240))*IF(M5="Low",50%,IF(M5="Medium",75%,100%))</f>
        <v/>
      </c>
      <c r="K5" s="22" t="n"/>
      <c r="L5" s="22" t="inlineStr">
        <is>
          <t>Simple</t>
        </is>
      </c>
      <c r="M5" s="22" t="inlineStr">
        <is>
          <t>High</t>
        </is>
      </c>
      <c r="N5" s="31">
        <f>IF(O5="Simple",60,IF(O5="Medium",120,240))*IF(P5="Low",50%,IF(P5="Medium",75%,100%))</f>
        <v/>
      </c>
      <c r="O5" s="22" t="inlineStr">
        <is>
          <t>Simple</t>
        </is>
      </c>
      <c r="P5" s="22" t="inlineStr">
        <is>
          <t>High</t>
        </is>
      </c>
    </row>
    <row r="6" ht="26.45" customHeight="1">
      <c r="A6" s="15">
        <f>ROW()-4</f>
        <v/>
      </c>
      <c r="B6" s="16" t="inlineStr">
        <is>
          <t>Login &amp; Password</t>
        </is>
      </c>
      <c r="C6" s="16" t="inlineStr">
        <is>
          <t>Auth</t>
        </is>
      </c>
      <c r="D6" s="17" t="inlineStr">
        <is>
          <t>User login with email/password and session cookie management.</t>
        </is>
      </c>
      <c r="E6" s="30" t="inlineStr">
        <is>
          <t>Trịnh Phú Quốc</t>
        </is>
      </c>
      <c r="F6" s="16" t="inlineStr">
        <is>
          <t>Completed</t>
        </is>
      </c>
      <c r="G6" s="16" t="inlineStr">
        <is>
          <t>iter3</t>
        </is>
      </c>
      <c r="H6" s="16" t="inlineStr">
        <is>
          <t>none</t>
        </is>
      </c>
      <c r="I6" s="16" t="n"/>
      <c r="J6" s="31">
        <f>IF(L6="Simple",60,IF(L6="Medium",120,240))*IF(M6="Low",50%,IF(M6="Medium",75%,100%))</f>
        <v/>
      </c>
      <c r="K6" s="22" t="n"/>
      <c r="L6" s="22" t="inlineStr">
        <is>
          <t>Medium</t>
        </is>
      </c>
      <c r="M6" s="22" t="inlineStr">
        <is>
          <t>High</t>
        </is>
      </c>
      <c r="N6" s="31">
        <f>IF(O6="Simple",60,IF(O6="Medium",120,240))*IF(P6="Low",50%,IF(P6="Medium",75%,100%))</f>
        <v/>
      </c>
      <c r="O6" s="22" t="inlineStr">
        <is>
          <t>Medium</t>
        </is>
      </c>
      <c r="P6" s="22" t="inlineStr">
        <is>
          <t>High</t>
        </is>
      </c>
    </row>
    <row r="7" ht="26.45" customHeight="1">
      <c r="A7" s="15">
        <f>ROW()-4</f>
        <v/>
      </c>
      <c r="B7" s="16" t="inlineStr">
        <is>
          <t>Email OTP Registration</t>
        </is>
      </c>
      <c r="C7" s="16" t="inlineStr">
        <is>
          <t>Auth</t>
        </is>
      </c>
      <c r="D7" s="17" t="inlineStr">
        <is>
          <t>Registration flow with email OTP dispatch, verification, and expiration check.</t>
        </is>
      </c>
      <c r="E7" s="30" t="inlineStr">
        <is>
          <t>Trịnh Phú Quốc</t>
        </is>
      </c>
      <c r="F7" s="16" t="inlineStr">
        <is>
          <t>Completed</t>
        </is>
      </c>
      <c r="G7" s="16" t="inlineStr">
        <is>
          <t>iter4</t>
        </is>
      </c>
      <c r="H7" s="16" t="inlineStr">
        <is>
          <t>iter4</t>
        </is>
      </c>
      <c r="I7" s="16" t="n"/>
      <c r="J7" s="31">
        <f>IF(L7="Simple",60,IF(L7="Medium",120,240))*IF(M7="Low",50%,IF(M7="Medium",75%,100%))</f>
        <v/>
      </c>
      <c r="K7" s="22" t="n"/>
      <c r="L7" s="22" t="inlineStr">
        <is>
          <t>Medium</t>
        </is>
      </c>
      <c r="M7" s="22" t="inlineStr">
        <is>
          <t>High</t>
        </is>
      </c>
      <c r="N7" s="31">
        <f>IF(O7="Simple",60,IF(O7="Medium",120,240))*IF(P7="Low",50%,IF(P7="Medium",75%,100%))</f>
        <v/>
      </c>
      <c r="O7" s="22" t="inlineStr">
        <is>
          <t>Medium</t>
        </is>
      </c>
      <c r="P7" s="22" t="inlineStr">
        <is>
          <t>High</t>
        </is>
      </c>
    </row>
    <row r="8" ht="52.95" customHeight="1">
      <c r="A8" s="15">
        <f>ROW()-4</f>
        <v/>
      </c>
      <c r="B8" s="16" t="inlineStr">
        <is>
          <t>Google OAuth Authentication</t>
        </is>
      </c>
      <c r="C8" s="16" t="inlineStr">
        <is>
          <t>Auth</t>
        </is>
      </c>
      <c r="D8" s="32" t="inlineStr">
        <is>
          <t>Sign in and profile completion via Google OAuth 2.0 ID token.</t>
        </is>
      </c>
      <c r="E8" s="30" t="inlineStr">
        <is>
          <t>Trịnh Phú Quốc</t>
        </is>
      </c>
      <c r="F8" s="16" t="inlineStr">
        <is>
          <t>Completed</t>
        </is>
      </c>
      <c r="G8" s="16" t="inlineStr">
        <is>
          <t>iter1</t>
        </is>
      </c>
      <c r="H8" s="16" t="inlineStr">
        <is>
          <t>iter1</t>
        </is>
      </c>
      <c r="I8" s="16" t="n"/>
      <c r="J8" s="31">
        <f>IF(L8="Simple",60,IF(L8="Medium",120,240))*IF(M8="Low",50%,IF(M8="Medium",75%,100%))</f>
        <v/>
      </c>
      <c r="K8" s="22" t="n"/>
      <c r="L8" s="22" t="inlineStr">
        <is>
          <t>Medium</t>
        </is>
      </c>
      <c r="M8" s="22" t="inlineStr">
        <is>
          <t>High</t>
        </is>
      </c>
      <c r="N8" s="31">
        <f>IF(O8="Simple",60,IF(O8="Medium",120,240))*IF(P8="Low",50%,IF(P8="Medium",75%,100%))</f>
        <v/>
      </c>
      <c r="O8" s="22" t="inlineStr">
        <is>
          <t>Medium</t>
        </is>
      </c>
      <c r="P8" s="22" t="inlineStr">
        <is>
          <t>High</t>
        </is>
      </c>
    </row>
    <row r="9" ht="25.5" customHeight="1">
      <c r="A9" s="15">
        <f>ROW()-4</f>
        <v/>
      </c>
      <c r="B9" s="24" t="inlineStr">
        <is>
          <t>Customer Dashboard</t>
        </is>
      </c>
      <c r="C9" s="24" t="inlineStr">
        <is>
          <t>Notification</t>
        </is>
      </c>
      <c r="D9" s="25" t="inlineStr">
        <is>
          <t>Customer hub showing greeting, active wash stage progress bar, quick booking CTA, loyalty tier card, recent notifications.</t>
        </is>
      </c>
      <c r="E9" s="33" t="inlineStr">
        <is>
          <t>Ngô Đình Khoa</t>
        </is>
      </c>
      <c r="F9" s="24" t="inlineStr">
        <is>
          <t>Completed</t>
        </is>
      </c>
      <c r="G9" s="24" t="inlineStr">
        <is>
          <t>iter2</t>
        </is>
      </c>
      <c r="H9" s="24" t="inlineStr">
        <is>
          <t>none</t>
        </is>
      </c>
      <c r="I9" s="24" t="n"/>
      <c r="J9" s="34">
        <f>IF(L9="Simple",60,IF(L9="Medium",120,240))*IF(M9="Low",50%,IF(M9="Medium",75%,100%))</f>
        <v/>
      </c>
      <c r="K9" s="29" t="n"/>
      <c r="L9" s="29" t="inlineStr">
        <is>
          <t>Medium</t>
        </is>
      </c>
      <c r="M9" s="29" t="inlineStr">
        <is>
          <t>High</t>
        </is>
      </c>
      <c r="N9" s="34">
        <f>IF(O9="Simple",60,IF(O9="Medium",120,240))*IF(P9="Low",50%,IF(P9="Medium",75%,100%))</f>
        <v/>
      </c>
      <c r="O9" s="29" t="inlineStr">
        <is>
          <t>Medium</t>
        </is>
      </c>
      <c r="P9" s="29" t="inlineStr">
        <is>
          <t>High</t>
        </is>
      </c>
    </row>
    <row r="10" ht="25.5" customHeight="1">
      <c r="A10" s="15">
        <f>ROW()-4</f>
        <v/>
      </c>
      <c r="B10" s="24" t="inlineStr">
        <is>
          <t>Customer Booking Wizard</t>
        </is>
      </c>
      <c r="C10" s="24" t="inlineStr">
        <is>
          <t>Booking</t>
        </is>
      </c>
      <c r="D10" s="25" t="inlineStr">
        <is>
          <t>4-step wizard: 1. Select Vehicle, 2. Select Main Service &amp; Add-ons, 3. Choose Date &amp; Time Slot, 4. Apply Voucher &amp; Confirm.</t>
        </is>
      </c>
      <c r="E10" s="33" t="inlineStr">
        <is>
          <t>Trịnh Phú Quốc</t>
        </is>
      </c>
      <c r="F10" s="24" t="inlineStr">
        <is>
          <t>Completed</t>
        </is>
      </c>
      <c r="G10" s="24" t="inlineStr">
        <is>
          <t>iter3</t>
        </is>
      </c>
      <c r="H10" s="24" t="inlineStr">
        <is>
          <t>iter3</t>
        </is>
      </c>
      <c r="I10" s="24" t="n"/>
      <c r="J10" s="34">
        <f>IF(L10="Simple",60,IF(L10="Medium",120,240))*IF(M10="Low",50%,IF(M10="Medium",75%,100%))</f>
        <v/>
      </c>
      <c r="K10" s="29" t="n"/>
      <c r="L10" s="29" t="inlineStr">
        <is>
          <t>Complex</t>
        </is>
      </c>
      <c r="M10" s="29" t="inlineStr">
        <is>
          <t>High</t>
        </is>
      </c>
      <c r="N10" s="34">
        <f>IF(O10="Simple",60,IF(O10="Medium",120,240))*IF(P10="Low",50%,IF(P10="Medium",75%,100%))</f>
        <v/>
      </c>
      <c r="O10" s="29" t="inlineStr">
        <is>
          <t>Complex</t>
        </is>
      </c>
      <c r="P10" s="29" t="inlineStr">
        <is>
          <t>High</t>
        </is>
      </c>
    </row>
    <row r="11" ht="38.25" customHeight="1">
      <c r="A11" s="15">
        <f>ROW()-4</f>
        <v/>
      </c>
      <c r="B11" s="24" t="inlineStr">
        <is>
          <t>Customer Bookings Manager</t>
        </is>
      </c>
      <c r="C11" s="24" t="inlineStr">
        <is>
          <t>Booking</t>
        </is>
      </c>
      <c r="D11" s="25" t="inlineStr">
        <is>
          <t>List of active and upcoming bookings with status badges, countdown timer to check-in window, and cancel option.</t>
        </is>
      </c>
      <c r="E11" s="33" t="inlineStr">
        <is>
          <t>Trần Đăng Khoa</t>
        </is>
      </c>
      <c r="F11" s="24" t="inlineStr">
        <is>
          <t>Completed</t>
        </is>
      </c>
      <c r="G11" s="24" t="inlineStr">
        <is>
          <t>iter4</t>
        </is>
      </c>
      <c r="H11" s="24" t="inlineStr">
        <is>
          <t>iter4</t>
        </is>
      </c>
      <c r="I11" s="24" t="n"/>
      <c r="J11" s="34">
        <f>IF(L11="Simple",60,IF(L11="Medium",120,240))*IF(M11="Low",50%,IF(M11="Medium",75%,100%))</f>
        <v/>
      </c>
      <c r="K11" s="29" t="n"/>
      <c r="L11" s="29" t="inlineStr">
        <is>
          <t>Complex</t>
        </is>
      </c>
      <c r="M11" s="29" t="inlineStr">
        <is>
          <t>High</t>
        </is>
      </c>
      <c r="N11" s="34">
        <f>IF(O11="Simple",60,IF(O11="Medium",120,240))*IF(P11="Low",50%,IF(P11="Medium",75%,100%))</f>
        <v/>
      </c>
      <c r="O11" s="29" t="inlineStr">
        <is>
          <t>Complex</t>
        </is>
      </c>
      <c r="P11" s="29" t="inlineStr">
        <is>
          <t>High</t>
        </is>
      </c>
    </row>
    <row r="12" ht="25.5" customHeight="1">
      <c r="A12" s="15">
        <f>ROW()-4</f>
        <v/>
      </c>
      <c r="B12" s="24" t="inlineStr">
        <is>
          <t>Customer Booking History &amp; Review</t>
        </is>
      </c>
      <c r="C12" s="24" t="inlineStr">
        <is>
          <t>Review</t>
        </is>
      </c>
      <c r="D12" s="25" t="inlineStr">
        <is>
          <t>Historical log of completed washes with service details, invoice summary, download receipt, and review rating form.</t>
        </is>
      </c>
      <c r="E12" s="33" t="inlineStr">
        <is>
          <t>Nguyễn Lê Thuận</t>
        </is>
      </c>
      <c r="F12" s="24" t="inlineStr">
        <is>
          <t>Completed</t>
        </is>
      </c>
      <c r="G12" s="24" t="inlineStr">
        <is>
          <t>iter1</t>
        </is>
      </c>
      <c r="H12" s="24" t="inlineStr">
        <is>
          <t>none</t>
        </is>
      </c>
      <c r="I12" s="24" t="n"/>
      <c r="J12" s="34">
        <f>IF(L12="Simple",60,IF(L12="Medium",120,240))*IF(M12="Low",50%,IF(M12="Medium",75%,100%))</f>
        <v/>
      </c>
      <c r="K12" s="29" t="n"/>
      <c r="L12" s="29" t="inlineStr">
        <is>
          <t>Simple</t>
        </is>
      </c>
      <c r="M12" s="29" t="inlineStr">
        <is>
          <t>High</t>
        </is>
      </c>
      <c r="N12" s="34">
        <f>IF(O12="Simple",60,IF(O12="Medium",120,240))*IF(P12="Low",50%,IF(P12="Medium",75%,100%))</f>
        <v/>
      </c>
      <c r="O12" s="29" t="inlineStr">
        <is>
          <t>Simple</t>
        </is>
      </c>
      <c r="P12" s="29" t="inlineStr">
        <is>
          <t>High</t>
        </is>
      </c>
    </row>
    <row r="13" ht="38.25" customHeight="1">
      <c r="A13" s="15">
        <f>ROW()-4</f>
        <v/>
      </c>
      <c r="B13" s="24" t="inlineStr">
        <is>
          <t>Customer Loyalty Tier Status</t>
        </is>
      </c>
      <c r="C13" s="24" t="inlineStr">
        <is>
          <t>Loyalty</t>
        </is>
      </c>
      <c r="D13" s="25" t="inlineStr">
        <is>
          <t>VIP Tier status display (Member/Silver/Gold/Platinum), point progress bar, point audit history, and tier benefits showcase.</t>
        </is>
      </c>
      <c r="E13" s="33" t="inlineStr">
        <is>
          <t>Trịnh Phú Quốc</t>
        </is>
      </c>
      <c r="F13" s="24" t="inlineStr">
        <is>
          <t>Completed</t>
        </is>
      </c>
      <c r="G13" s="24" t="inlineStr">
        <is>
          <t>iter2</t>
        </is>
      </c>
      <c r="H13" s="24" t="inlineStr">
        <is>
          <t>iter2</t>
        </is>
      </c>
      <c r="I13" s="24" t="n"/>
      <c r="J13" s="34">
        <f>IF(L13="Simple",60,IF(L13="Medium",120,240))*IF(M13="Low",50%,IF(M13="Medium",75%,100%))</f>
        <v/>
      </c>
      <c r="K13" s="29" t="n"/>
      <c r="L13" s="29" t="inlineStr">
        <is>
          <t>Complex</t>
        </is>
      </c>
      <c r="M13" s="29" t="inlineStr">
        <is>
          <t>High</t>
        </is>
      </c>
      <c r="N13" s="34">
        <f>IF(O13="Simple",60,IF(O13="Medium",120,240))*IF(P13="Low",50%,IF(P13="Medium",75%,100%))</f>
        <v/>
      </c>
      <c r="O13" s="29" t="inlineStr">
        <is>
          <t>Complex</t>
        </is>
      </c>
      <c r="P13" s="29" t="inlineStr">
        <is>
          <t>High</t>
        </is>
      </c>
    </row>
    <row r="14" ht="38.25" customHeight="1">
      <c r="A14" s="15">
        <f>ROW()-4</f>
        <v/>
      </c>
      <c r="B14" s="24" t="inlineStr">
        <is>
          <t>Customer Reward Redemption</t>
        </is>
      </c>
      <c r="C14" s="24" t="inlineStr">
        <is>
          <t>Reward</t>
        </is>
      </c>
      <c r="D14" s="25" t="inlineStr">
        <is>
          <t>Exchange loyalty points for reward vouchers and generate unique voucher codes for checkout.</t>
        </is>
      </c>
      <c r="E14" s="33" t="inlineStr">
        <is>
          <t>Trịnh Phú Quốc</t>
        </is>
      </c>
      <c r="F14" s="24" t="inlineStr">
        <is>
          <t>Completed</t>
        </is>
      </c>
      <c r="G14" s="24" t="inlineStr">
        <is>
          <t>iter3</t>
        </is>
      </c>
      <c r="H14" s="24" t="inlineStr">
        <is>
          <t>iter3</t>
        </is>
      </c>
      <c r="I14" s="24" t="n"/>
      <c r="J14" s="34">
        <f>IF(L14="Simple",60,IF(L14="Medium",120,240))*IF(M14="Low",50%,IF(M14="Medium",75%,100%))</f>
        <v/>
      </c>
      <c r="K14" s="29" t="n"/>
      <c r="L14" s="29" t="inlineStr">
        <is>
          <t>Medium</t>
        </is>
      </c>
      <c r="M14" s="29" t="inlineStr">
        <is>
          <t>High</t>
        </is>
      </c>
      <c r="N14" s="34">
        <f>IF(O14="Simple",60,IF(O14="Medium",120,240))*IF(P14="Low",50%,IF(P14="Medium",75%,100%))</f>
        <v/>
      </c>
      <c r="O14" s="29" t="inlineStr">
        <is>
          <t>Medium</t>
        </is>
      </c>
      <c r="P14" s="29" t="inlineStr">
        <is>
          <t>High</t>
        </is>
      </c>
    </row>
    <row r="15" ht="38.25" customHeight="1">
      <c r="A15" s="15">
        <f>ROW()-4</f>
        <v/>
      </c>
      <c r="B15" s="24" t="inlineStr">
        <is>
          <t>Customer Profile Management</t>
        </is>
      </c>
      <c r="C15" s="24" t="inlineStr">
        <is>
          <t>Auth</t>
        </is>
      </c>
      <c r="D15" s="25" t="inlineStr">
        <is>
          <t>Manage personal profile details (Full Name, Phone, Email) and change password.</t>
        </is>
      </c>
      <c r="E15" s="33" t="inlineStr">
        <is>
          <t>Trịnh Phú Quốc</t>
        </is>
      </c>
      <c r="F15" s="24" t="inlineStr">
        <is>
          <t>Completed</t>
        </is>
      </c>
      <c r="G15" s="24" t="inlineStr">
        <is>
          <t>iter4</t>
        </is>
      </c>
      <c r="H15" s="24" t="inlineStr">
        <is>
          <t>none</t>
        </is>
      </c>
      <c r="I15" s="24" t="n"/>
      <c r="J15" s="34">
        <f>IF(L15="Simple",60,IF(L15="Medium",120,240))*IF(M15="Low",50%,IF(M15="Medium",75%,100%))</f>
        <v/>
      </c>
      <c r="K15" s="29" t="n"/>
      <c r="L15" s="29" t="inlineStr">
        <is>
          <t>Medium</t>
        </is>
      </c>
      <c r="M15" s="29" t="inlineStr">
        <is>
          <t>High</t>
        </is>
      </c>
      <c r="N15" s="34">
        <f>IF(O15="Simple",60,IF(O15="Medium",120,240))*IF(P15="Low",50%,IF(P15="Medium",75%,100%))</f>
        <v/>
      </c>
      <c r="O15" s="29" t="inlineStr">
        <is>
          <t>Medium</t>
        </is>
      </c>
      <c r="P15" s="29" t="inlineStr">
        <is>
          <t>High</t>
        </is>
      </c>
    </row>
    <row r="16" ht="38.25" customHeight="1">
      <c r="A16" s="15">
        <f>ROW()-4</f>
        <v/>
      </c>
      <c r="B16" s="24" t="inlineStr">
        <is>
          <t>Customer Vehicles Garage</t>
        </is>
      </c>
      <c r="C16" s="24" t="inlineStr">
        <is>
          <t>Vehicle</t>
        </is>
      </c>
      <c r="D16" s="25" t="inlineStr">
        <is>
          <t>Garage tab to register and delete customer vehicles with Vietnamese license plate normalization regex.</t>
        </is>
      </c>
      <c r="E16" s="33" t="inlineStr">
        <is>
          <t>Trịnh Phú Quốc</t>
        </is>
      </c>
      <c r="F16" s="24" t="inlineStr">
        <is>
          <t>Completed</t>
        </is>
      </c>
      <c r="G16" s="24" t="inlineStr">
        <is>
          <t>iter1</t>
        </is>
      </c>
      <c r="H16" s="24" t="inlineStr">
        <is>
          <t>iter1</t>
        </is>
      </c>
      <c r="I16" s="24" t="n"/>
      <c r="J16" s="34">
        <f>IF(L16="Simple",60,IF(L16="Medium",120,240))*IF(M16="Low",50%,IF(M16="Medium",75%,100%))</f>
        <v/>
      </c>
      <c r="K16" s="29" t="n"/>
      <c r="L16" s="29" t="inlineStr">
        <is>
          <t>Simple</t>
        </is>
      </c>
      <c r="M16" s="29" t="inlineStr">
        <is>
          <t>High</t>
        </is>
      </c>
      <c r="N16" s="34">
        <f>IF(O16="Simple",60,IF(O16="Medium",120,240))*IF(P16="Low",50%,IF(P16="Medium",75%,100%))</f>
        <v/>
      </c>
      <c r="O16" s="29" t="inlineStr">
        <is>
          <t>Simple</t>
        </is>
      </c>
      <c r="P16" s="29" t="inlineStr">
        <is>
          <t>High</t>
        </is>
      </c>
    </row>
    <row r="17" ht="25.5" customHeight="1">
      <c r="A17" s="15">
        <f>ROW()-4</f>
        <v/>
      </c>
      <c r="B17" s="24" t="inlineStr">
        <is>
          <t>Customer Ownership Transfer Submission</t>
        </is>
      </c>
      <c r="C17" s="24" t="inlineStr">
        <is>
          <t>Transfer</t>
        </is>
      </c>
      <c r="D17" s="25" t="inlineStr">
        <is>
          <t>Ownership Transfer tab to check plate, submit transfer request with document attachments (PDF/JPG/PNG max 10MB), and track status.</t>
        </is>
      </c>
      <c r="E17" s="33" t="inlineStr">
        <is>
          <t>Trịnh Phú Quốc</t>
        </is>
      </c>
      <c r="F17" s="24" t="inlineStr">
        <is>
          <t>Completed</t>
        </is>
      </c>
      <c r="G17" s="24" t="inlineStr">
        <is>
          <t>iter2</t>
        </is>
      </c>
      <c r="H17" s="24" t="inlineStr">
        <is>
          <t>iter2</t>
        </is>
      </c>
      <c r="I17" s="24" t="n"/>
      <c r="J17" s="34">
        <f>IF(L17="Simple",60,IF(L17="Medium",120,240))*IF(M17="Low",50%,IF(M17="Medium",75%,100%))</f>
        <v/>
      </c>
      <c r="K17" s="29" t="n"/>
      <c r="L17" s="29" t="inlineStr">
        <is>
          <t>Complex</t>
        </is>
      </c>
      <c r="M17" s="29" t="inlineStr">
        <is>
          <t>High</t>
        </is>
      </c>
      <c r="N17" s="34">
        <f>IF(O17="Simple",60,IF(O17="Medium",120,240))*IF(P17="Low",50%,IF(P17="Medium",75%,100%))</f>
        <v/>
      </c>
      <c r="O17" s="29" t="inlineStr">
        <is>
          <t>Complex</t>
        </is>
      </c>
      <c r="P17" s="29" t="inlineStr">
        <is>
          <t>High</t>
        </is>
      </c>
    </row>
    <row r="18" ht="25.5" customHeight="1">
      <c r="A18" s="15">
        <f>ROW()-4</f>
        <v/>
      </c>
      <c r="B18" s="24" t="inlineStr">
        <is>
          <t>Admin Dashboard Analytics</t>
        </is>
      </c>
      <c r="C18" s="24" t="inlineStr">
        <is>
          <t>Dashboard</t>
        </is>
      </c>
      <c r="D18" s="25" t="inlineStr">
        <is>
          <t>Executive dashboard showing Revenue chart (Day/Week/Month), total bookings, queue bottleneck indicators, customer tier distribution.</t>
        </is>
      </c>
      <c r="E18" s="33" t="inlineStr">
        <is>
          <t>Trịnh Phú Quốc</t>
        </is>
      </c>
      <c r="F18" s="24" t="inlineStr">
        <is>
          <t>Completed</t>
        </is>
      </c>
      <c r="G18" s="24" t="inlineStr">
        <is>
          <t>iter3</t>
        </is>
      </c>
      <c r="H18" s="24" t="inlineStr">
        <is>
          <t>none</t>
        </is>
      </c>
      <c r="I18" s="24" t="n"/>
      <c r="J18" s="34">
        <f>IF(L18="Simple",60,IF(L18="Medium",120,240))*IF(M18="Low",50%,IF(M18="Medium",75%,100%))</f>
        <v/>
      </c>
      <c r="K18" s="29" t="n"/>
      <c r="L18" s="29" t="inlineStr">
        <is>
          <t>Medium</t>
        </is>
      </c>
      <c r="M18" s="29" t="inlineStr">
        <is>
          <t>High</t>
        </is>
      </c>
      <c r="N18" s="34">
        <f>IF(O18="Simple",60,IF(O18="Medium",120,240))*IF(P18="Low",50%,IF(P18="Medium",75%,100%))</f>
        <v/>
      </c>
      <c r="O18" s="29" t="inlineStr">
        <is>
          <t>Medium</t>
        </is>
      </c>
      <c r="P18" s="29" t="inlineStr">
        <is>
          <t>High</t>
        </is>
      </c>
    </row>
    <row r="19" ht="25.5" customHeight="1">
      <c r="A19" s="15">
        <f>ROW()-4</f>
        <v/>
      </c>
      <c r="B19" s="24" t="inlineStr">
        <is>
          <t>Admin Operational Queue Monitor</t>
        </is>
      </c>
      <c r="C19" s="24" t="inlineStr">
        <is>
          <t>Queue</t>
        </is>
      </c>
      <c r="D19" s="25" t="inlineStr">
        <is>
          <t>Real-time wash bay queue board with SignalR live updates, stage timers (Waiting, Washing, Drying), webcam completion photo capture, and checkout.</t>
        </is>
      </c>
      <c r="E19" s="33" t="inlineStr">
        <is>
          <t>Ngô Đình Khoa</t>
        </is>
      </c>
      <c r="F19" s="24" t="inlineStr">
        <is>
          <t>Completed</t>
        </is>
      </c>
      <c r="G19" s="24" t="inlineStr">
        <is>
          <t>iter4</t>
        </is>
      </c>
      <c r="H19" s="24" t="inlineStr">
        <is>
          <t>iter4</t>
        </is>
      </c>
      <c r="I19" s="24" t="n"/>
      <c r="J19" s="34">
        <f>IF(L19="Simple",60,IF(L19="Medium",120,240))*IF(M19="Low",50%,IF(M19="Medium",75%,100%))</f>
        <v/>
      </c>
      <c r="K19" s="29" t="n"/>
      <c r="L19" s="29" t="inlineStr">
        <is>
          <t>Complex</t>
        </is>
      </c>
      <c r="M19" s="29" t="inlineStr">
        <is>
          <t>High</t>
        </is>
      </c>
      <c r="N19" s="34">
        <f>IF(O19="Simple",60,IF(O19="Medium",120,240))*IF(P19="Low",50%,IF(P19="Medium",75%,100%))</f>
        <v/>
      </c>
      <c r="O19" s="29" t="inlineStr">
        <is>
          <t>Complex</t>
        </is>
      </c>
      <c r="P19" s="29" t="inlineStr">
        <is>
          <t>High</t>
        </is>
      </c>
    </row>
    <row r="20" ht="25.5" customHeight="1">
      <c r="A20" s="15">
        <f>ROW()-4</f>
        <v/>
      </c>
      <c r="B20" s="24" t="inlineStr">
        <is>
          <t>Admin Booking Management</t>
        </is>
      </c>
      <c r="C20" s="24" t="inlineStr">
        <is>
          <t>Booking</t>
        </is>
      </c>
      <c r="D20" s="25" t="inlineStr">
        <is>
          <t>Full calendar and table of system bookings with date/status filters, staff check-in, manual reschedule, and cancellation.</t>
        </is>
      </c>
      <c r="E20" s="33" t="inlineStr">
        <is>
          <t>Trần Đăng Khoa</t>
        </is>
      </c>
      <c r="F20" s="24" t="inlineStr">
        <is>
          <t>Completed</t>
        </is>
      </c>
      <c r="G20" s="24" t="inlineStr">
        <is>
          <t>iter1</t>
        </is>
      </c>
      <c r="H20" s="24" t="inlineStr">
        <is>
          <t>iter1</t>
        </is>
      </c>
      <c r="I20" s="24" t="n"/>
      <c r="J20" s="34">
        <f>IF(L20="Simple",60,IF(L20="Medium",120,240))*IF(M20="Low",50%,IF(M20="Medium",75%,100%))</f>
        <v/>
      </c>
      <c r="K20" s="29" t="n"/>
      <c r="L20" s="29" t="inlineStr">
        <is>
          <t>Complex</t>
        </is>
      </c>
      <c r="M20" s="29" t="inlineStr">
        <is>
          <t>High</t>
        </is>
      </c>
      <c r="N20" s="34">
        <f>IF(O20="Simple",60,IF(O20="Medium",120,240))*IF(P20="Low",50%,IF(P20="Medium",75%,100%))</f>
        <v/>
      </c>
      <c r="O20" s="29" t="inlineStr">
        <is>
          <t>Complex</t>
        </is>
      </c>
      <c r="P20" s="29" t="inlineStr">
        <is>
          <t>High</t>
        </is>
      </c>
    </row>
    <row r="21" ht="38.25" customHeight="1">
      <c r="A21" s="15">
        <f>ROW()-4</f>
        <v/>
      </c>
      <c r="B21" s="24" t="inlineStr">
        <is>
          <t>Admin Customer Accounts</t>
        </is>
      </c>
      <c r="C21" s="24" t="inlineStr">
        <is>
          <t>Loyalty</t>
        </is>
      </c>
      <c r="D21" s="25" t="inlineStr">
        <is>
          <t>List of registered customer accounts, total spent, current tier, and manual point adjustment modal.</t>
        </is>
      </c>
      <c r="E21" s="33" t="inlineStr">
        <is>
          <t>Ngô Đình Khoa</t>
        </is>
      </c>
      <c r="F21" s="24" t="inlineStr">
        <is>
          <t>Completed</t>
        </is>
      </c>
      <c r="G21" s="24" t="inlineStr">
        <is>
          <t>iter2</t>
        </is>
      </c>
      <c r="H21" s="24" t="inlineStr">
        <is>
          <t>none</t>
        </is>
      </c>
      <c r="I21" s="24" t="n"/>
      <c r="J21" s="34">
        <f>IF(L21="Simple",60,IF(L21="Medium",120,240))*IF(M21="Low",50%,IF(M21="Medium",75%,100%))</f>
        <v/>
      </c>
      <c r="K21" s="29" t="n"/>
      <c r="L21" s="29" t="inlineStr">
        <is>
          <t>Medium</t>
        </is>
      </c>
      <c r="M21" s="29" t="inlineStr">
        <is>
          <t>High</t>
        </is>
      </c>
      <c r="N21" s="34">
        <f>IF(O21="Simple",60,IF(O21="Medium",120,240))*IF(P21="Low",50%,IF(P21="Medium",75%,100%))</f>
        <v/>
      </c>
      <c r="O21" s="29" t="inlineStr">
        <is>
          <t>Medium</t>
        </is>
      </c>
      <c r="P21" s="29" t="inlineStr">
        <is>
          <t>High</t>
        </is>
      </c>
    </row>
    <row r="22" ht="38.25" customHeight="1">
      <c r="A22" s="15">
        <f>ROW()-4</f>
        <v/>
      </c>
      <c r="B22" s="24" t="inlineStr">
        <is>
          <t>Admin Service Catalog CRUD</t>
        </is>
      </c>
      <c r="C22" s="24" t="inlineStr">
        <is>
          <t>Booking</t>
        </is>
      </c>
      <c r="D22" s="25" t="inlineStr">
        <is>
          <t>Management of wash service catalog (Main services and add-on services), pricing, duration, and active toggle.</t>
        </is>
      </c>
      <c r="E22" s="33" t="inlineStr">
        <is>
          <t>Ngô Đình Khoa</t>
        </is>
      </c>
      <c r="F22" s="24" t="inlineStr">
        <is>
          <t>Completed</t>
        </is>
      </c>
      <c r="G22" s="24" t="inlineStr">
        <is>
          <t>iter3</t>
        </is>
      </c>
      <c r="H22" s="24" t="inlineStr">
        <is>
          <t>iter3</t>
        </is>
      </c>
      <c r="I22" s="24" t="n"/>
      <c r="J22" s="34">
        <f>IF(L22="Simple",60,IF(L22="Medium",120,240))*IF(M22="Low",50%,IF(M22="Medium",75%,100%))</f>
        <v/>
      </c>
      <c r="K22" s="29" t="n"/>
      <c r="L22" s="29" t="inlineStr">
        <is>
          <t>Simple</t>
        </is>
      </c>
      <c r="M22" s="29" t="inlineStr">
        <is>
          <t>High</t>
        </is>
      </c>
      <c r="N22" s="34">
        <f>IF(O22="Simple",60,IF(O22="Medium",120,240))*IF(P22="Low",50%,IF(P22="Medium",75%,100%))</f>
        <v/>
      </c>
      <c r="O22" s="29" t="inlineStr">
        <is>
          <t>Simple</t>
        </is>
      </c>
      <c r="P22" s="29" t="inlineStr">
        <is>
          <t>High</t>
        </is>
      </c>
    </row>
    <row r="23" ht="38.25" customHeight="1">
      <c r="A23" s="15">
        <f>ROW()-4</f>
        <v/>
      </c>
      <c r="B23" s="24" t="inlineStr">
        <is>
          <t>Admin Loyalty Tier Configuration</t>
        </is>
      </c>
      <c r="C23" s="24" t="inlineStr">
        <is>
          <t>Loyalty</t>
        </is>
      </c>
      <c r="D23" s="25" t="inlineStr">
        <is>
          <t>Configuration of tier point thresholds, spending multipliers, discount percentages, and manual trigger for tier review.</t>
        </is>
      </c>
      <c r="E23" s="33" t="inlineStr">
        <is>
          <t>Nguyễn Lê Thuận</t>
        </is>
      </c>
      <c r="F23" s="24" t="inlineStr">
        <is>
          <t>Completed</t>
        </is>
      </c>
      <c r="G23" s="24" t="inlineStr">
        <is>
          <t>iter4</t>
        </is>
      </c>
      <c r="H23" s="24" t="inlineStr">
        <is>
          <t>iter4</t>
        </is>
      </c>
      <c r="I23" s="24" t="n"/>
      <c r="J23" s="34">
        <f>IF(L23="Simple",60,IF(L23="Medium",120,240))*IF(M23="Low",50%,IF(M23="Medium",75%,100%))</f>
        <v/>
      </c>
      <c r="K23" s="29" t="n"/>
      <c r="L23" s="29" t="inlineStr">
        <is>
          <t>Complex</t>
        </is>
      </c>
      <c r="M23" s="29" t="inlineStr">
        <is>
          <t>High</t>
        </is>
      </c>
      <c r="N23" s="34">
        <f>IF(O23="Simple",60,IF(O23="Medium",120,240))*IF(P23="Low",50%,IF(P23="Medium",75%,100%))</f>
        <v/>
      </c>
      <c r="O23" s="29" t="inlineStr">
        <is>
          <t>Complex</t>
        </is>
      </c>
      <c r="P23" s="29" t="inlineStr">
        <is>
          <t>High</t>
        </is>
      </c>
    </row>
    <row r="24" ht="38.25" customHeight="1">
      <c r="A24" s="15">
        <f>ROW()-4</f>
        <v/>
      </c>
      <c r="B24" s="24" t="inlineStr">
        <is>
          <t>Admin Reward Catalog Management</t>
        </is>
      </c>
      <c r="C24" s="24" t="inlineStr">
        <is>
          <t>Reward</t>
        </is>
      </c>
      <c r="D24" s="25" t="inlineStr">
        <is>
          <t>Catalog management for redeemable rewards and voucher creation.</t>
        </is>
      </c>
      <c r="E24" s="33" t="inlineStr">
        <is>
          <t>Trịnh Phú Quốc</t>
        </is>
      </c>
      <c r="F24" s="24" t="inlineStr">
        <is>
          <t>Completed</t>
        </is>
      </c>
      <c r="G24" s="24" t="inlineStr">
        <is>
          <t>iter1</t>
        </is>
      </c>
      <c r="H24" s="24" t="inlineStr">
        <is>
          <t>none</t>
        </is>
      </c>
      <c r="I24" s="24" t="n"/>
      <c r="J24" s="34">
        <f>IF(L24="Simple",60,IF(L24="Medium",120,240))*IF(M24="Low",50%,IF(M24="Medium",75%,100%))</f>
        <v/>
      </c>
      <c r="K24" s="29" t="n"/>
      <c r="L24" s="29" t="inlineStr">
        <is>
          <t>Medium</t>
        </is>
      </c>
      <c r="M24" s="29" t="inlineStr">
        <is>
          <t>High</t>
        </is>
      </c>
      <c r="N24" s="34">
        <f>IF(O24="Simple",60,IF(O24="Medium",120,240))*IF(P24="Low",50%,IF(P24="Medium",75%,100%))</f>
        <v/>
      </c>
      <c r="O24" s="29" t="inlineStr">
        <is>
          <t>Medium</t>
        </is>
      </c>
      <c r="P24" s="29" t="inlineStr">
        <is>
          <t>High</t>
        </is>
      </c>
    </row>
    <row r="25" ht="38.25" customHeight="1">
      <c r="A25" s="15">
        <f>ROW()-4</f>
        <v/>
      </c>
      <c r="B25" s="24" t="inlineStr">
        <is>
          <t>Admin Voucher Assignment</t>
        </is>
      </c>
      <c r="C25" s="24" t="inlineStr">
        <is>
          <t>Reward</t>
        </is>
      </c>
      <c r="D25" s="25" t="inlineStr">
        <is>
          <t>Manual assignment of specific reward vouchers to targeted customer accounts.</t>
        </is>
      </c>
      <c r="E25" s="33" t="inlineStr">
        <is>
          <t>Trịnh Phú Quốc</t>
        </is>
      </c>
      <c r="F25" s="24" t="inlineStr">
        <is>
          <t>Completed</t>
        </is>
      </c>
      <c r="G25" s="24" t="inlineStr">
        <is>
          <t>iter2</t>
        </is>
      </c>
      <c r="H25" s="24" t="inlineStr">
        <is>
          <t>iter2</t>
        </is>
      </c>
      <c r="I25" s="24" t="n"/>
      <c r="J25" s="34">
        <f>IF(L25="Simple",60,IF(L25="Medium",120,240))*IF(M25="Low",50%,IF(M25="Medium",75%,100%))</f>
        <v/>
      </c>
      <c r="K25" s="29" t="n"/>
      <c r="L25" s="29" t="inlineStr">
        <is>
          <t>Medium</t>
        </is>
      </c>
      <c r="M25" s="29" t="inlineStr">
        <is>
          <t>High</t>
        </is>
      </c>
      <c r="N25" s="34">
        <f>IF(O25="Simple",60,IF(O25="Medium",120,240))*IF(P25="Low",50%,IF(P25="Medium",75%,100%))</f>
        <v/>
      </c>
      <c r="O25" s="29" t="inlineStr">
        <is>
          <t>Medium</t>
        </is>
      </c>
      <c r="P25" s="29" t="inlineStr">
        <is>
          <t>High</t>
        </is>
      </c>
    </row>
    <row r="26" ht="25.35" customHeight="1">
      <c r="A26" s="15">
        <f>ROW()-4</f>
        <v/>
      </c>
      <c r="B26" s="24" t="inlineStr">
        <is>
          <t>Admin Transaction Audit Log</t>
        </is>
      </c>
      <c r="C26" s="24" t="inlineStr">
        <is>
          <t>Payment</t>
        </is>
      </c>
      <c r="D26" s="25" t="inlineStr">
        <is>
          <t>Audit log of all PayOS transactions across system with payment status badges (Paid, Pending, Failed, Expired) and filtering.</t>
        </is>
      </c>
      <c r="E26" s="33" t="inlineStr">
        <is>
          <t>Nguyễn Lê Thuận</t>
        </is>
      </c>
      <c r="F26" s="24" t="inlineStr">
        <is>
          <t>Completed</t>
        </is>
      </c>
      <c r="G26" s="24" t="inlineStr">
        <is>
          <t>iter3</t>
        </is>
      </c>
      <c r="H26" s="24" t="inlineStr">
        <is>
          <t>iter3</t>
        </is>
      </c>
      <c r="I26" s="24" t="n"/>
      <c r="J26" s="34">
        <f>IF(L26="Simple",60,IF(L26="Medium",120,240))*IF(M26="Low",50%,IF(M26="Medium",75%,100%))</f>
        <v/>
      </c>
      <c r="K26" s="29" t="n"/>
      <c r="L26" s="29" t="inlineStr">
        <is>
          <t>Complex</t>
        </is>
      </c>
      <c r="M26" s="29" t="inlineStr">
        <is>
          <t>High</t>
        </is>
      </c>
      <c r="N26" s="34">
        <f>IF(O26="Simple",60,IF(O26="Medium",120,240))*IF(P26="Low",50%,IF(P26="Medium",75%,100%))</f>
        <v/>
      </c>
      <c r="O26" s="29" t="inlineStr">
        <is>
          <t>Complex</t>
        </is>
      </c>
      <c r="P26" s="29" t="inlineStr">
        <is>
          <t>High</t>
        </is>
      </c>
    </row>
    <row r="27" ht="38" customHeight="1">
      <c r="A27" s="15">
        <f>ROW()-4</f>
        <v/>
      </c>
      <c r="B27" s="24" t="inlineStr">
        <is>
          <t>Admin Ownership Transfer Review</t>
        </is>
      </c>
      <c r="C27" s="24" t="inlineStr">
        <is>
          <t>Transfer</t>
        </is>
      </c>
      <c r="D27" s="25" t="inlineStr">
        <is>
          <t>Review queue of vehicle ownership transfer requests with document previewer (PDF/Image viewer), approval DB transaction, and rejection with reason.</t>
        </is>
      </c>
      <c r="E27" s="33" t="inlineStr">
        <is>
          <t>Trịnh Phú Quốc</t>
        </is>
      </c>
      <c r="F27" s="24" t="inlineStr">
        <is>
          <t>Completed</t>
        </is>
      </c>
      <c r="G27" s="24" t="inlineStr">
        <is>
          <t>iter4</t>
        </is>
      </c>
      <c r="H27" s="24" t="inlineStr">
        <is>
          <t>none</t>
        </is>
      </c>
      <c r="I27" s="24" t="n"/>
      <c r="J27" s="34">
        <f>IF(L27="Simple",60,IF(L27="Medium",120,240))*IF(M27="Low",50%,IF(M27="Medium",75%,100%))</f>
        <v/>
      </c>
      <c r="K27" s="29" t="n"/>
      <c r="L27" s="29" t="inlineStr">
        <is>
          <t>Complex</t>
        </is>
      </c>
      <c r="M27" s="29" t="inlineStr">
        <is>
          <t>High</t>
        </is>
      </c>
      <c r="N27" s="34">
        <f>IF(O27="Simple",60,IF(O27="Medium",120,240))*IF(P27="Low",50%,IF(P27="Medium",75%,100%))</f>
        <v/>
      </c>
      <c r="O27" s="29" t="inlineStr">
        <is>
          <t>Complex</t>
        </is>
      </c>
      <c r="P27" s="29" t="inlineStr">
        <is>
          <t>High</t>
        </is>
      </c>
    </row>
    <row r="28" ht="25.35" customHeight="1">
      <c r="A28" s="15">
        <f>ROW()-4</f>
        <v/>
      </c>
      <c r="B28" s="24" t="inlineStr">
        <is>
          <t>Admin Demo Tools</t>
        </is>
      </c>
      <c r="C28" s="24" t="inlineStr">
        <is>
          <t>Demo Utilities</t>
        </is>
      </c>
      <c r="D28" s="25" t="inlineStr">
        <is>
          <t>Testing tools interface for injecting test bookings, simulating queue progression, clearing queue, and testing LPR triggers.</t>
        </is>
      </c>
      <c r="E28" s="33" t="inlineStr">
        <is>
          <t>Nguyễn Hoàng Huy</t>
        </is>
      </c>
      <c r="F28" s="24" t="inlineStr">
        <is>
          <t>Completed</t>
        </is>
      </c>
      <c r="G28" s="24" t="inlineStr">
        <is>
          <t>iter1</t>
        </is>
      </c>
      <c r="H28" s="24" t="inlineStr">
        <is>
          <t>iter1</t>
        </is>
      </c>
      <c r="I28" s="24" t="n"/>
      <c r="J28" s="34">
        <f>IF(L28="Simple",60,IF(L28="Medium",120,240))*IF(M28="Low",50%,IF(M28="Medium",75%,100%))</f>
        <v/>
      </c>
      <c r="K28" s="29" t="n"/>
      <c r="L28" s="29" t="inlineStr">
        <is>
          <t>Simple</t>
        </is>
      </c>
      <c r="M28" s="29" t="inlineStr">
        <is>
          <t>High</t>
        </is>
      </c>
      <c r="N28" s="34">
        <f>IF(O28="Simple",60,IF(O28="Medium",120,240))*IF(P28="Low",50%,IF(P28="Medium",75%,100%))</f>
        <v/>
      </c>
      <c r="O28" s="29" t="inlineStr">
        <is>
          <t>Simple</t>
        </is>
      </c>
      <c r="P28" s="29" t="inlineStr">
        <is>
          <t>High</t>
        </is>
      </c>
    </row>
    <row r="29" ht="38" customHeight="1">
      <c r="A29" s="15">
        <f>ROW()-4</f>
        <v/>
      </c>
      <c r="B29" s="24" t="inlineStr">
        <is>
          <t>Payment Checkout QR Generator</t>
        </is>
      </c>
      <c r="C29" s="24" t="inlineStr">
        <is>
          <t>Payment</t>
        </is>
      </c>
      <c r="D29" s="25" t="inlineStr">
        <is>
          <t>Dedicated checkout screen displaying PayOS QR code (QRCodeSVG), bank transfer details, and 15-minute live polling countdown timer.</t>
        </is>
      </c>
      <c r="E29" s="33" t="inlineStr">
        <is>
          <t>Nguyễn Lê Thuận</t>
        </is>
      </c>
      <c r="F29" s="24" t="inlineStr">
        <is>
          <t>Completed</t>
        </is>
      </c>
      <c r="G29" s="24" t="inlineStr">
        <is>
          <t>iter2</t>
        </is>
      </c>
      <c r="H29" s="24" t="inlineStr">
        <is>
          <t>iter2</t>
        </is>
      </c>
      <c r="I29" s="24" t="n"/>
      <c r="J29" s="34">
        <f>IF(L29="Simple",60,IF(L29="Medium",120,240))*IF(M29="Low",50%,IF(M29="Medium",75%,100%))</f>
        <v/>
      </c>
      <c r="K29" s="29" t="n"/>
      <c r="L29" s="29" t="inlineStr">
        <is>
          <t>Complex</t>
        </is>
      </c>
      <c r="M29" s="29" t="inlineStr">
        <is>
          <t>High</t>
        </is>
      </c>
      <c r="N29" s="34">
        <f>IF(O29="Simple",60,IF(O29="Medium",120,240))*IF(P29="Low",50%,IF(P29="Medium",75%,100%))</f>
        <v/>
      </c>
      <c r="O29" s="29" t="inlineStr">
        <is>
          <t>Complex</t>
        </is>
      </c>
      <c r="P29" s="29" t="inlineStr">
        <is>
          <t>High</t>
        </is>
      </c>
    </row>
    <row r="30" ht="38" customHeight="1">
      <c r="A30" s="15">
        <f>ROW()-4</f>
        <v/>
      </c>
      <c r="B30" s="24" t="inlineStr">
        <is>
          <t>Payment Result Status Polling</t>
        </is>
      </c>
      <c r="C30" s="24" t="inlineStr">
        <is>
          <t>Payment</t>
        </is>
      </c>
      <c r="D30" s="25" t="inlineStr">
        <is>
          <t>PayOS payment return landing page with automatic retry verification polling displaying Success, Cancelled, or Timeout cards.</t>
        </is>
      </c>
      <c r="E30" s="33" t="inlineStr">
        <is>
          <t>Trịnh Phú Quốc</t>
        </is>
      </c>
      <c r="F30" s="24" t="inlineStr">
        <is>
          <t>Completed</t>
        </is>
      </c>
      <c r="G30" s="24" t="inlineStr">
        <is>
          <t>iter3</t>
        </is>
      </c>
      <c r="H30" s="24" t="inlineStr">
        <is>
          <t>none</t>
        </is>
      </c>
      <c r="I30" s="24" t="n"/>
      <c r="J30" s="34">
        <f>IF(L30="Simple",60,IF(L30="Medium",120,240))*IF(M30="Low",50%,IF(M30="Medium",75%,100%))</f>
        <v/>
      </c>
      <c r="K30" s="29" t="n"/>
      <c r="L30" s="29" t="inlineStr">
        <is>
          <t>Complex</t>
        </is>
      </c>
      <c r="M30" s="29" t="inlineStr">
        <is>
          <t>High</t>
        </is>
      </c>
      <c r="N30" s="34">
        <f>IF(O30="Simple",60,IF(O30="Medium",120,240))*IF(P30="Low",50%,IF(P30="Medium",75%,100%))</f>
        <v/>
      </c>
      <c r="O30" s="29" t="inlineStr">
        <is>
          <t>Complex</t>
        </is>
      </c>
      <c r="P30" s="29" t="inlineStr">
        <is>
          <t>High</t>
        </is>
      </c>
    </row>
    <row r="31" ht="50.7" customHeight="1">
      <c r="A31" s="15">
        <f>ROW()-4</f>
        <v/>
      </c>
      <c r="B31" s="24" t="inlineStr">
        <is>
          <t>Booking Workflow Engine</t>
        </is>
      </c>
      <c r="C31" s="24" t="inlineStr">
        <is>
          <t>Queue</t>
        </is>
      </c>
      <c r="D31" s="25" t="inlineStr">
        <is>
          <t>2-second background timer loop that auto-progresses queue stages (Waiting -&gt; Washing -&gt; Drying -&gt; Completed), detects no-shows, sends booking reminders, and triggers loyalty tier updates.</t>
        </is>
      </c>
      <c r="E31" s="33" t="inlineStr">
        <is>
          <t>Trịnh Phú Quốc</t>
        </is>
      </c>
      <c r="F31" s="24" t="inlineStr">
        <is>
          <t>Completed</t>
        </is>
      </c>
      <c r="G31" s="24" t="inlineStr">
        <is>
          <t>iter4</t>
        </is>
      </c>
      <c r="H31" s="24" t="inlineStr">
        <is>
          <t>iter4</t>
        </is>
      </c>
      <c r="I31" s="24" t="n"/>
      <c r="J31" s="34">
        <f>IF(L31="Simple",60,IF(L31="Medium",120,240))*IF(M31="Low",50%,IF(M31="Medium",75%,100%))</f>
        <v/>
      </c>
      <c r="K31" s="29" t="n"/>
      <c r="L31" s="29" t="inlineStr">
        <is>
          <t>Complex</t>
        </is>
      </c>
      <c r="M31" s="29" t="inlineStr">
        <is>
          <t>High</t>
        </is>
      </c>
      <c r="N31" s="34">
        <f>IF(O31="Simple",60,IF(O31="Medium",120,240))*IF(P31="Low",50%,IF(P31="Medium",75%,100%))</f>
        <v/>
      </c>
      <c r="O31" s="29" t="inlineStr">
        <is>
          <t>Complex</t>
        </is>
      </c>
      <c r="P31" s="29" t="inlineStr">
        <is>
          <t>High</t>
        </is>
      </c>
    </row>
    <row r="32" ht="25.35" customHeight="1">
      <c r="A32" s="15">
        <f>ROW()-4</f>
        <v/>
      </c>
      <c r="B32" s="24" t="inlineStr">
        <is>
          <t>Payment Expiry Service</t>
        </is>
      </c>
      <c r="C32" s="24" t="inlineStr">
        <is>
          <t>Payment</t>
        </is>
      </c>
      <c r="D32" s="25" t="inlineStr">
        <is>
          <t>60-second background timer loop sweeping pending PayOS payments older than 15 minutes to mark as expired.</t>
        </is>
      </c>
      <c r="E32" s="33" t="inlineStr">
        <is>
          <t>Nguyễn Lê Thuận</t>
        </is>
      </c>
      <c r="F32" s="24" t="inlineStr">
        <is>
          <t>Completed</t>
        </is>
      </c>
      <c r="G32" s="24" t="inlineStr">
        <is>
          <t>iter1</t>
        </is>
      </c>
      <c r="H32" s="24" t="inlineStr">
        <is>
          <t>iter1</t>
        </is>
      </c>
      <c r="I32" s="24" t="n"/>
      <c r="J32" s="34">
        <f>IF(L32="Simple",60,IF(L32="Medium",120,240))*IF(M32="Low",50%,IF(M32="Medium",75%,100%))</f>
        <v/>
      </c>
      <c r="K32" s="29" t="n"/>
      <c r="L32" s="29" t="inlineStr">
        <is>
          <t>Medium</t>
        </is>
      </c>
      <c r="M32" s="29" t="inlineStr">
        <is>
          <t>High</t>
        </is>
      </c>
      <c r="N32" s="34">
        <f>IF(O32="Simple",60,IF(O32="Medium",120,240))*IF(P32="Low",50%,IF(P32="Medium",75%,100%))</f>
        <v/>
      </c>
      <c r="O32" s="29" t="inlineStr">
        <is>
          <t>Medium</t>
        </is>
      </c>
      <c r="P32" s="29" t="inlineStr">
        <is>
          <t>High</t>
        </is>
      </c>
    </row>
    <row r="33" ht="38" customHeight="1">
      <c r="A33" s="15">
        <f>ROW()-4</f>
        <v/>
      </c>
      <c r="B33" s="24" t="inlineStr">
        <is>
          <t>SignalR Realtime Notifier</t>
        </is>
      </c>
      <c r="C33" s="24" t="inlineStr">
        <is>
          <t>Queue</t>
        </is>
      </c>
      <c r="D33" s="25" t="inlineStr">
        <is>
          <t>WebSocket hub (BookingHub) emitting real-time event updates (BookingCreated, WashCompleted) to staff and customer dashboards.</t>
        </is>
      </c>
      <c r="E33" s="33" t="inlineStr">
        <is>
          <t>Nguyễn Lê Thuận</t>
        </is>
      </c>
      <c r="F33" s="24" t="inlineStr">
        <is>
          <t>Completed</t>
        </is>
      </c>
      <c r="G33" s="24" t="inlineStr">
        <is>
          <t>iter2</t>
        </is>
      </c>
      <c r="H33" s="24" t="inlineStr">
        <is>
          <t>none</t>
        </is>
      </c>
      <c r="I33" s="24" t="n"/>
      <c r="J33" s="34">
        <f>IF(L33="Simple",60,IF(L33="Medium",120,240))*IF(M33="Low",50%,IF(M33="Medium",75%,100%))</f>
        <v/>
      </c>
      <c r="K33" s="29" t="n"/>
      <c r="L33" s="29" t="inlineStr">
        <is>
          <t>Medium</t>
        </is>
      </c>
      <c r="M33" s="29" t="inlineStr">
        <is>
          <t>High</t>
        </is>
      </c>
      <c r="N33" s="34">
        <f>IF(O33="Simple",60,IF(O33="Medium",120,240))*IF(P33="Low",50%,IF(P33="Medium",75%,100%))</f>
        <v/>
      </c>
      <c r="O33" s="29" t="inlineStr">
        <is>
          <t>Medium</t>
        </is>
      </c>
      <c r="P33" s="29" t="inlineStr">
        <is>
          <t>High</t>
        </is>
      </c>
    </row>
    <row r="34" ht="38" customHeight="1">
      <c r="A34" s="15">
        <f>ROW()-4</f>
        <v/>
      </c>
      <c r="B34" s="24" t="inlineStr">
        <is>
          <t>PayOS Payment Gateway Integration</t>
        </is>
      </c>
      <c r="C34" s="24" t="inlineStr">
        <is>
          <t>Payment</t>
        </is>
      </c>
      <c r="D34" s="25" t="inlineStr">
        <is>
          <t>PayOS API integration generating payment QR links, validating IPN Webhook SHA256 signatures, and enforcing payment idempotency.</t>
        </is>
      </c>
      <c r="E34" s="33" t="inlineStr">
        <is>
          <t>Trịnh Phú Quốc</t>
        </is>
      </c>
      <c r="F34" s="24" t="inlineStr">
        <is>
          <t>Completed</t>
        </is>
      </c>
      <c r="G34" s="24" t="inlineStr">
        <is>
          <t>iter3</t>
        </is>
      </c>
      <c r="H34" s="24" t="inlineStr">
        <is>
          <t>iter3</t>
        </is>
      </c>
      <c r="I34" s="24" t="n"/>
      <c r="J34" s="34">
        <f>IF(L34="Simple",60,IF(L34="Medium",120,240))*IF(M34="Low",50%,IF(M34="Medium",75%,100%))</f>
        <v/>
      </c>
      <c r="K34" s="29" t="n"/>
      <c r="L34" s="29" t="inlineStr">
        <is>
          <t>Complex</t>
        </is>
      </c>
      <c r="M34" s="29" t="inlineStr">
        <is>
          <t>High</t>
        </is>
      </c>
      <c r="N34" s="34">
        <f>IF(O34="Simple",60,IF(O34="Medium",120,240))*IF(P34="Low",50%,IF(P34="Medium",75%,100%))</f>
        <v/>
      </c>
      <c r="O34" s="29" t="inlineStr">
        <is>
          <t>Complex</t>
        </is>
      </c>
      <c r="P34" s="29" t="inlineStr">
        <is>
          <t>High</t>
        </is>
      </c>
    </row>
    <row r="35" ht="38" customHeight="1">
      <c r="A35" s="15">
        <f>ROW()-4</f>
        <v/>
      </c>
      <c r="B35" s="24" t="inlineStr">
        <is>
          <t>Email &amp; In-App Notification Dispatcher</t>
        </is>
      </c>
      <c r="C35" s="24" t="inlineStr">
        <is>
          <t>Notification</t>
        </is>
      </c>
      <c r="D35" s="25" t="inlineStr">
        <is>
          <t>SMTP email service dispatching HTML emails for booking confirmation, reminders, no-show alerts, payment receipts, tier updates, and transfer status.</t>
        </is>
      </c>
      <c r="E35" s="33" t="inlineStr">
        <is>
          <t>Trịnh Phú Quốc</t>
        </is>
      </c>
      <c r="F35" s="24" t="inlineStr">
        <is>
          <t>Completed</t>
        </is>
      </c>
      <c r="G35" s="24" t="inlineStr">
        <is>
          <t>iter4</t>
        </is>
      </c>
      <c r="H35" s="24" t="inlineStr">
        <is>
          <t>iter4</t>
        </is>
      </c>
      <c r="I35" s="24" t="n"/>
      <c r="J35" s="34">
        <f>IF(L35="Simple",60,IF(L35="Medium",120,240))*IF(M35="Low",50%,IF(M35="Medium",75%,100%))</f>
        <v/>
      </c>
      <c r="K35" s="29" t="n"/>
      <c r="L35" s="29" t="inlineStr">
        <is>
          <t>Medium</t>
        </is>
      </c>
      <c r="M35" s="29" t="inlineStr">
        <is>
          <t>High</t>
        </is>
      </c>
      <c r="N35" s="34">
        <f>IF(O35="Simple",60,IF(O35="Medium",120,240))*IF(P35="Low",50%,IF(P35="Medium",75%,100%))</f>
        <v/>
      </c>
      <c r="O35" s="29" t="inlineStr">
        <is>
          <t>Medium</t>
        </is>
      </c>
      <c r="P35" s="29" t="inlineStr">
        <is>
          <t>High</t>
        </is>
      </c>
    </row>
  </sheetData>
  <autoFilter ref="A4:D8"/>
  <dataValidations count="6">
    <dataValidation sqref="H5:H8" showDropDown="0" showInputMessage="1" showErrorMessage="1" allowBlank="1" type="list">
      <formula1>"none, iter2, iter3, iter4"</formula1>
    </dataValidation>
    <dataValidation sqref="G5" showDropDown="0" showInputMessage="1" showErrorMessage="1" allowBlank="1" type="list">
      <formula1>"iter1, iter2, iter3, iter4"</formula1>
    </dataValidation>
    <dataValidation sqref="G6:G8" showDropDown="0" showInputMessage="1" showErrorMessage="1" allowBlank="1" type="list">
      <formula1>"iter2, iter3, iter4, iter5"</formula1>
    </dataValidation>
    <dataValidation sqref="F5:F8" showDropDown="0" showInputMessage="1" showErrorMessage="1" allowBlank="1" type="list">
      <formula1>"To Do, Doing, Done, Updated"</formula1>
    </dataValidation>
    <dataValidation sqref="M5:M8 P5:P8" showDropDown="0" showInputMessage="1" showErrorMessage="1" allowBlank="1" type="list">
      <formula1>"Low, Medium, High"</formula1>
    </dataValidation>
    <dataValidation sqref="L5:L8 O5:O8" showDropDown="0" showInputMessage="1" showErrorMessage="1" allowBlank="1" type="list">
      <formula1>"Simple, Medium, Complex"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KienNT</dc:creator>
  <dcterms:created xsi:type="dcterms:W3CDTF">2021-07-20T01:09:05Z</dcterms:created>
  <dcterms:modified xsi:type="dcterms:W3CDTF">2026-07-20T15:04:21Z</dcterms:modified>
  <cp:lastModifiedBy>Thuận Nguyễn</cp:lastModifiedBy>
</cp:coreProperties>
</file>